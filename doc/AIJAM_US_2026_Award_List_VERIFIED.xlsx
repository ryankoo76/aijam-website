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Award List" sheetId="1" state="visible" r:id="rId1"/>
    <sheet xmlns:r="http://schemas.openxmlformats.org/officeDocument/2006/relationships" name="Offline - BKSTAR" sheetId="2" state="visible" r:id="rId2"/>
    <sheet xmlns:r="http://schemas.openxmlformats.org/officeDocument/2006/relationships" name="Offline - VN Posters" sheetId="3" state="visible" r:id="rId3"/>
    <sheet xmlns:r="http://schemas.openxmlformats.org/officeDocument/2006/relationships" name="Roster Detail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Open Decisions" sheetId="6" state="visible" r:id="rId6"/>
    <sheet xmlns:r="http://schemas.openxmlformats.org/officeDocument/2006/relationships" name="About This File" sheetId="7" state="visible" r:id="rId7"/>
  </sheets>
  <definedNames>
    <definedName name="_xlnm._FilterDatabase" localSheetId="0" hidden="1">'2026 Award List'!$A$1:$F$45</definedName>
    <definedName name="_xlnm._FilterDatabase" localSheetId="3" hidden="1">'Roster Detail'!$A$1:$O$45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352"/>
      <sz val="14"/>
    </font>
    <font>
      <b val="1"/>
      <color rgb="001F3352"/>
      <sz val="12"/>
    </font>
    <font>
      <b val="1"/>
    </font>
    <font>
      <b val="1"/>
      <color rgb="001F3352"/>
      <sz val="11"/>
    </font>
  </fonts>
  <fills count="4">
    <fill>
      <patternFill/>
    </fill>
    <fill>
      <patternFill patternType="gray125"/>
    </fill>
    <fill>
      <patternFill patternType="solid">
        <fgColor rgb="001F3352"/>
      </patternFill>
    </fill>
    <fill>
      <patternFill patternType="solid">
        <fgColor rgb="003D5A80"/>
      </patternFill>
    </fill>
  </fills>
  <borders count="2">
    <border>
      <left/>
      <right/>
      <top/>
      <bottom/>
      <diagonal/>
    </border>
    <border>
      <left style="thin">
        <color rgb="00D6DCE5"/>
      </left>
      <right style="thin">
        <color rgb="00D6DCE5"/>
      </right>
      <top style="thin">
        <color rgb="00D6DCE5"/>
      </top>
      <bottom style="thin">
        <color rgb="00D6DCE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  <xf numFmtId="0" fontId="1" fillId="3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68" customWidth="1" min="4" max="4"/>
    <col width="62" customWidth="1" min="5" max="5"/>
    <col width="24" customWidth="1" min="6" max="6"/>
  </cols>
  <sheetData>
    <row r="1" ht="22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Country</t>
        </is>
      </c>
      <c r="D1" s="1" t="inlineStr">
        <is>
          <t>Project Title</t>
        </is>
      </c>
      <c r="E1" s="1" t="inlineStr">
        <is>
          <t>Student Name</t>
        </is>
      </c>
      <c r="F1" s="1" t="inlineStr">
        <is>
          <t>Award</t>
        </is>
      </c>
    </row>
    <row r="2">
      <c r="A2" s="2" t="n">
        <v>1</v>
      </c>
      <c r="B2" s="2" t="inlineStr">
        <is>
          <t>Agriculture</t>
        </is>
      </c>
      <c r="C2" s="2" t="inlineStr">
        <is>
          <t>Vietnam</t>
        </is>
      </c>
      <c r="D2" s="2" t="inlineStr">
        <is>
          <t>LycheeScan: AI-Powered Lychee Ripeness &amp; Quality Grading</t>
        </is>
      </c>
      <c r="E2" s="2" t="inlineStr">
        <is>
          <t>Vuong Quang Nghi, Dang Quang Vinh, Doan Quang Huy</t>
        </is>
      </c>
      <c r="F2" s="2" t="inlineStr">
        <is>
          <t>Silver</t>
        </is>
      </c>
    </row>
    <row r="3">
      <c r="A3" s="2" t="n">
        <v>2</v>
      </c>
      <c r="B3" s="2" t="inlineStr">
        <is>
          <t>Education</t>
        </is>
      </c>
      <c r="C3" s="2" t="inlineStr">
        <is>
          <t>Other</t>
        </is>
      </c>
      <c r="D3" s="2" t="inlineStr">
        <is>
          <t>HIJO — AI-Powered Immersive Skill Learning &amp; Assessment</t>
        </is>
      </c>
      <c r="E3" s="2" t="inlineStr">
        <is>
          <t>Aqib Khan</t>
        </is>
      </c>
      <c r="F3" s="2" t="inlineStr">
        <is>
          <t>Bronze</t>
        </is>
      </c>
    </row>
    <row r="4">
      <c r="A4" s="2" t="n">
        <v>3</v>
      </c>
      <c r="B4" s="2" t="inlineStr">
        <is>
          <t>Education</t>
        </is>
      </c>
      <c r="C4" s="2" t="inlineStr">
        <is>
          <t>Other</t>
        </is>
      </c>
      <c r="D4" s="2" t="inlineStr">
        <is>
          <t>MindForge</t>
        </is>
      </c>
      <c r="E4" s="2" t="inlineStr">
        <is>
          <t>Maleyka Jamalova</t>
        </is>
      </c>
      <c r="F4" s="2" t="inlineStr">
        <is>
          <t>Bronze</t>
        </is>
      </c>
    </row>
    <row r="5">
      <c r="A5" s="2" t="n">
        <v>4</v>
      </c>
      <c r="B5" s="2" t="inlineStr">
        <is>
          <t>Education</t>
        </is>
      </c>
      <c r="C5" s="2" t="inlineStr">
        <is>
          <t>(not registered)</t>
        </is>
      </c>
      <c r="D5" s="2" t="inlineStr">
        <is>
          <t>Ripple.AI</t>
        </is>
      </c>
      <c r="E5" s="2" t="inlineStr">
        <is>
          <t>Maria Kenya Rosari</t>
        </is>
      </c>
      <c r="F5" s="2" t="inlineStr">
        <is>
          <t>Participation</t>
        </is>
      </c>
    </row>
    <row r="6">
      <c r="A6" s="2" t="n">
        <v>5</v>
      </c>
      <c r="B6" s="2" t="inlineStr">
        <is>
          <t>Education</t>
        </is>
      </c>
      <c r="C6" s="2" t="inlineStr">
        <is>
          <t>Other</t>
        </is>
      </c>
      <c r="D6" s="2" t="inlineStr">
        <is>
          <t>PreLude AI — Where Your Music Journal Begins</t>
        </is>
      </c>
      <c r="E6" s="2" t="inlineStr">
        <is>
          <t>Marissa (Mu-Jung) Lu</t>
        </is>
      </c>
      <c r="F6" s="2" t="inlineStr">
        <is>
          <t>Silver</t>
        </is>
      </c>
    </row>
    <row r="7">
      <c r="A7" s="2" t="n">
        <v>6</v>
      </c>
      <c r="B7" s="2" t="inlineStr">
        <is>
          <t>Education</t>
        </is>
      </c>
      <c r="C7" s="2" t="inlineStr">
        <is>
          <t>(not registered)</t>
        </is>
      </c>
      <c r="D7" s="2" t="inlineStr">
        <is>
          <t>SAFEDRIVE+: Blood Alcohol Concentration Measurement and Monitoring System</t>
        </is>
      </c>
      <c r="E7" s="2" t="inlineStr">
        <is>
          <t>Nguyen Tri Viet, Nguyen Quang Khe, Nguyen Viet Bach, Nguyen Thuan Quoc Trung</t>
        </is>
      </c>
      <c r="F7" s="2" t="inlineStr">
        <is>
          <t>Bronze</t>
        </is>
      </c>
    </row>
    <row r="8">
      <c r="A8" s="2" t="n">
        <v>7</v>
      </c>
      <c r="B8" s="2" t="inlineStr">
        <is>
          <t>Environment</t>
        </is>
      </c>
      <c r="C8" s="2" t="inlineStr">
        <is>
          <t>Other</t>
        </is>
      </c>
      <c r="D8" s="2" t="inlineStr">
        <is>
          <t>AI-Powered Portable Intelligence for Real-Time Hydroclimate &amp; Pollution Monitoring</t>
        </is>
      </c>
      <c r="E8" s="2" t="inlineStr">
        <is>
          <t>Aryan Salvati, Himan Shahabi, Ali Salajegheh, Ataollah Shirzadi, Alireza Moghaddam Nia, Ali Akbar Nazari Samani, Hadi Hashemi</t>
        </is>
      </c>
      <c r="F8" s="2" t="inlineStr">
        <is>
          <t>Silver</t>
        </is>
      </c>
    </row>
    <row r="9">
      <c r="A9" s="2" t="n">
        <v>8</v>
      </c>
      <c r="B9" s="2" t="inlineStr">
        <is>
          <t>Environment</t>
        </is>
      </c>
      <c r="C9" s="2" t="inlineStr">
        <is>
          <t>Indonesia</t>
        </is>
      </c>
      <c r="D9" s="2" t="inlineStr">
        <is>
          <t>PlasticEye: AI Satellite Early Warning System for Ocean Plastic Pollution</t>
        </is>
      </c>
      <c r="E9" s="2" t="inlineStr">
        <is>
          <t>Callysta Naura Aqilla Zafarany, Aziz Qomarul Firdaus, Octaviana Galuh Pratiwi</t>
        </is>
      </c>
      <c r="F9" s="2" t="inlineStr">
        <is>
          <t>Bronze</t>
        </is>
      </c>
    </row>
    <row r="10">
      <c r="A10" s="2" t="n">
        <v>9</v>
      </c>
      <c r="B10" s="2" t="inlineStr">
        <is>
          <t>Environment</t>
        </is>
      </c>
      <c r="C10" s="2" t="inlineStr">
        <is>
          <t>Malaysia</t>
        </is>
      </c>
      <c r="D10" s="2" t="inlineStr">
        <is>
          <t>FLOOD WATCH</t>
        </is>
      </c>
      <c r="E10" s="2" t="inlineStr">
        <is>
          <t>Go Yee Xing, Choo Ern Xhe, Choong Xin Xuan, Lai Yee Hung, Tiew Jia Yu</t>
        </is>
      </c>
      <c r="F10" s="2" t="inlineStr">
        <is>
          <t>Silver</t>
        </is>
      </c>
    </row>
    <row r="11">
      <c r="A11" s="2" t="n">
        <v>10</v>
      </c>
      <c r="B11" s="2" t="inlineStr">
        <is>
          <t>Environment</t>
        </is>
      </c>
      <c r="C11" s="2" t="inlineStr">
        <is>
          <t>Vietnam</t>
        </is>
      </c>
      <c r="D11" s="2" t="inlineStr">
        <is>
          <t>Startup with a Project Using Nano-TiO2 Particles to Treat Water Pollution in Van Phuc Silk Village</t>
        </is>
      </c>
      <c r="E11" s="2" t="inlineStr">
        <is>
          <t>Nguyen Linh Chi, Nguyen Bao Khanh, Le Thi Thanh Hang, Nguyen Thuy Duong, Ho Le Gia An, Hoang Dang Phuc</t>
        </is>
      </c>
      <c r="F11" s="2" t="inlineStr">
        <is>
          <t>Bronze — pending</t>
        </is>
      </c>
    </row>
    <row r="12">
      <c r="A12" s="2" t="n">
        <v>11</v>
      </c>
      <c r="B12" s="2" t="inlineStr">
        <is>
          <t>Environment</t>
        </is>
      </c>
      <c r="C12" s="2" t="inlineStr">
        <is>
          <t>Vietnam</t>
        </is>
      </c>
      <c r="D12" s="2" t="inlineStr">
        <is>
          <t>Copper Oxide Nanomaterials for Solar Energy Harvesting and Photovoltaic Applications</t>
        </is>
      </c>
      <c r="E12" s="2" t="inlineStr">
        <is>
          <t>Pham Dang Khoa, Tran My Bao Ky, Hoang Anh Thu, Nguyen Gia Hung</t>
        </is>
      </c>
      <c r="F12" s="2" t="inlineStr">
        <is>
          <t>Participation — pending</t>
        </is>
      </c>
    </row>
    <row r="13">
      <c r="A13" s="2" t="n">
        <v>12</v>
      </c>
      <c r="B13" s="2" t="inlineStr">
        <is>
          <t>Environment</t>
        </is>
      </c>
      <c r="C13" s="2" t="inlineStr">
        <is>
          <t>Vietnam</t>
        </is>
      </c>
      <c r="D13" s="2" t="inlineStr">
        <is>
          <t>Development of a Triboelectric Nanogenerator for Self-Powered Portable Electronic Devices</t>
        </is>
      </c>
      <c r="E13" s="2" t="inlineStr">
        <is>
          <t>Pham Xuan Son, Nguyen Minh Duc, Nguyen Vu Manh Khang, Nguyen Nhat Minh, Quan Minh Hong Anh</t>
        </is>
      </c>
      <c r="F13" s="2" t="inlineStr">
        <is>
          <t>Bronze — pending</t>
        </is>
      </c>
    </row>
    <row r="14">
      <c r="A14" s="2" t="n">
        <v>13</v>
      </c>
      <c r="B14" s="2" t="inlineStr">
        <is>
          <t>Environment</t>
        </is>
      </c>
      <c r="C14" s="2" t="inlineStr">
        <is>
          <t>Indonesia</t>
        </is>
      </c>
      <c r="D14" s="2" t="inlineStr">
        <is>
          <t>AI SMART TREE</t>
        </is>
      </c>
      <c r="E14" s="2" t="inlineStr">
        <is>
          <t>Ribka Adelina Lubis</t>
        </is>
      </c>
      <c r="F14" s="2" t="inlineStr">
        <is>
          <t>Bronze</t>
        </is>
      </c>
    </row>
    <row r="15">
      <c r="A15" s="2" t="n">
        <v>14</v>
      </c>
      <c r="B15" s="2" t="inlineStr">
        <is>
          <t>Environment</t>
        </is>
      </c>
      <c r="C15" s="2" t="inlineStr">
        <is>
          <t>Vietnam</t>
        </is>
      </c>
      <c r="D15" s="2" t="inlineStr">
        <is>
          <t>ReGrow AI: Adaptive Swarm System for Autonomous Mangrove Restoration</t>
        </is>
      </c>
      <c r="E15" s="2" t="inlineStr">
        <is>
          <t>To Thi Ngoc Mai</t>
        </is>
      </c>
      <c r="F15" s="2" t="inlineStr">
        <is>
          <t>Bronze</t>
        </is>
      </c>
    </row>
    <row r="16">
      <c r="A16" s="2" t="n">
        <v>15</v>
      </c>
      <c r="B16" s="2" t="inlineStr">
        <is>
          <t>Environment</t>
        </is>
      </c>
      <c r="C16" s="2" t="inlineStr">
        <is>
          <t>Vietnam</t>
        </is>
      </c>
      <c r="D16" s="2" t="inlineStr">
        <is>
          <t>ROV for Aquatic Integrity</t>
        </is>
      </c>
      <c r="E16" s="2" t="inlineStr">
        <is>
          <t>Tran An Phu, Uong Nhat Phong, Duong Tuan Dung, Nguyen Bach Duong, Bui Thai An, Vo Minh Khoi, Pham Chu Minh Quang</t>
        </is>
      </c>
      <c r="F16" s="2" t="inlineStr">
        <is>
          <t>Bronze — pending</t>
        </is>
      </c>
    </row>
    <row r="17">
      <c r="A17" s="2" t="n">
        <v>16</v>
      </c>
      <c r="B17" s="2" t="inlineStr">
        <is>
          <t>Finance</t>
        </is>
      </c>
      <c r="C17" s="2" t="inlineStr">
        <is>
          <t>Vietnam</t>
        </is>
      </c>
      <c r="D17" s="2" t="inlineStr">
        <is>
          <t>Digital Transformation and Internationalization Capability: A Strategic Business Analysis of SMEs in Vietnam</t>
        </is>
      </c>
      <c r="E17" s="2" t="inlineStr">
        <is>
          <t>Chu Doan Phuong Chi, Nguyen Phi Long, Tran Nguyen Bao Ngoc, Trinh Phuong Ha, Ngo Thi Nha Linh, Vu Thao Uyen, Ta Hoang Minh Triet</t>
        </is>
      </c>
      <c r="F17" s="2" t="inlineStr">
        <is>
          <t>Participation — pending</t>
        </is>
      </c>
    </row>
    <row r="18">
      <c r="A18" s="2" t="n">
        <v>17</v>
      </c>
      <c r="B18" s="2" t="inlineStr">
        <is>
          <t>Finance</t>
        </is>
      </c>
      <c r="C18" s="2" t="inlineStr">
        <is>
          <t>Vietnam</t>
        </is>
      </c>
      <c r="D18" s="2" t="inlineStr">
        <is>
          <t>AutoInsure AI</t>
        </is>
      </c>
      <c r="E18" s="2" t="inlineStr">
        <is>
          <t>Vu Giang Nam, Vu Ha Bich Diep, Vo Nguyen Minh Thu, Nguyen Minh Dung</t>
        </is>
      </c>
      <c r="F18" s="2" t="inlineStr">
        <is>
          <t>Bronze — pending</t>
        </is>
      </c>
    </row>
    <row r="19">
      <c r="A19" s="2" t="n">
        <v>18</v>
      </c>
      <c r="B19" s="2" t="inlineStr">
        <is>
          <t>Healthcare</t>
        </is>
      </c>
      <c r="C19" s="2" t="inlineStr">
        <is>
          <t>Indonesia</t>
        </is>
      </c>
      <c r="D19" s="2" t="inlineStr">
        <is>
          <t>LukaLens by LukaHeal: AI-Powered Early Wound Risk Screening</t>
        </is>
      </c>
      <c r="E19" s="2" t="inlineStr">
        <is>
          <t>Callysta Naura Aqilla Zafarany, Aziz Qomarul Firdaus, Octaviana Galuh Pratiwi</t>
        </is>
      </c>
      <c r="F19" s="2" t="inlineStr">
        <is>
          <t>Bronze</t>
        </is>
      </c>
    </row>
    <row r="20">
      <c r="A20" s="2" t="n">
        <v>19</v>
      </c>
      <c r="B20" s="2" t="inlineStr">
        <is>
          <t>Healthcare</t>
        </is>
      </c>
      <c r="C20" s="2" t="inlineStr">
        <is>
          <t>Other</t>
        </is>
      </c>
      <c r="D20" s="2" t="inlineStr">
        <is>
          <t>Dynamic Cardiac Digital Twin for Real-Time AR Surgical Navigation</t>
        </is>
      </c>
      <c r="E20" s="2" t="inlineStr">
        <is>
          <t>Hana Ahmed, Rosol Mohammed</t>
        </is>
      </c>
      <c r="F20" s="2" t="inlineStr">
        <is>
          <t>Bronze</t>
        </is>
      </c>
    </row>
    <row r="21">
      <c r="A21" s="2" t="n">
        <v>20</v>
      </c>
      <c r="B21" s="2" t="inlineStr">
        <is>
          <t>Healthcare</t>
        </is>
      </c>
      <c r="C21" s="2" t="inlineStr">
        <is>
          <t>United States</t>
        </is>
      </c>
      <c r="D21" s="2" t="inlineStr">
        <is>
          <t>DentaLens AI</t>
        </is>
      </c>
      <c r="E21" s="2" t="inlineStr">
        <is>
          <t>Jayden Kim</t>
        </is>
      </c>
      <c r="F21" s="2" t="inlineStr">
        <is>
          <t>Participation</t>
        </is>
      </c>
    </row>
    <row r="22">
      <c r="A22" s="2" t="n">
        <v>21</v>
      </c>
      <c r="B22" s="2" t="inlineStr">
        <is>
          <t>Healthcare</t>
        </is>
      </c>
      <c r="C22" s="2" t="inlineStr">
        <is>
          <t>Vietnam</t>
        </is>
      </c>
      <c r="D22" s="2" t="inlineStr">
        <is>
          <t>Application of Machine Learning Algorithms to Identify the Effects of Temperature and pH on Cellulase Activity in Green Pharmaceutical Production</t>
        </is>
      </c>
      <c r="E22" s="2" t="inlineStr">
        <is>
          <t>Le Dieu Minh, Vu Quang Hai, Vo Duc Hoang, Ton Duc Minh, Bui Quoc Anh, Phan Nguyen Nhat Quynh</t>
        </is>
      </c>
      <c r="F22" s="2" t="inlineStr">
        <is>
          <t>Silver — pending</t>
        </is>
      </c>
    </row>
    <row r="23">
      <c r="A23" s="2" t="n">
        <v>22</v>
      </c>
      <c r="B23" s="2" t="inlineStr">
        <is>
          <t>Healthcare</t>
        </is>
      </c>
      <c r="C23" s="2" t="inlineStr">
        <is>
          <t>Vietnam</t>
        </is>
      </c>
      <c r="D23" s="2" t="inlineStr">
        <is>
          <t>Fabrication of Fe2O3 Magnetic Nanoparticles for Localized Hyperthermia in Cancer Treatment</t>
        </is>
      </c>
      <c r="E23" s="2" t="inlineStr">
        <is>
          <t>Mac Duc Tung, Tran Phuoc Hung</t>
        </is>
      </c>
      <c r="F23" s="2" t="inlineStr">
        <is>
          <t>Participation — pending</t>
        </is>
      </c>
    </row>
    <row r="24">
      <c r="A24" s="2" t="n">
        <v>23</v>
      </c>
      <c r="B24" s="2" t="inlineStr">
        <is>
          <t>Healthcare</t>
        </is>
      </c>
      <c r="C24" s="2" t="inlineStr">
        <is>
          <t>(not registered)</t>
        </is>
      </c>
      <c r="D24" s="2" t="inlineStr">
        <is>
          <t>NeoGuardian AI</t>
        </is>
      </c>
      <c r="E24" s="2" t="inlineStr">
        <is>
          <t>Mohammad Ali Mirzaei Nanaji</t>
        </is>
      </c>
      <c r="F24" s="2" t="inlineStr">
        <is>
          <t>Silver</t>
        </is>
      </c>
    </row>
    <row r="25">
      <c r="A25" s="2" t="n">
        <v>24</v>
      </c>
      <c r="B25" s="2" t="inlineStr">
        <is>
          <t>Healthcare</t>
        </is>
      </c>
      <c r="C25" s="2" t="inlineStr">
        <is>
          <t>Vietnam</t>
        </is>
      </c>
      <c r="D25" s="2" t="inlineStr">
        <is>
          <t>MediCare Hub - All-in-One Smart Home Healthcare Ecosystem</t>
        </is>
      </c>
      <c r="E25" s="2" t="inlineStr">
        <is>
          <t>Nguyen Viet Anh, Ta Quang Minh, Vu Ngoc Linh, Tran Viet Anh, Vu Sy Hieu Nghia, Lam An Binh</t>
        </is>
      </c>
      <c r="F25" s="2" t="inlineStr">
        <is>
          <t>Bronze — pending</t>
        </is>
      </c>
    </row>
    <row r="26">
      <c r="A26" s="2" t="n">
        <v>25</v>
      </c>
      <c r="B26" s="2" t="inlineStr">
        <is>
          <t>Healthcare</t>
        </is>
      </c>
      <c r="C26" s="2" t="inlineStr">
        <is>
          <t>Vietnam</t>
        </is>
      </c>
      <c r="D26" s="2" t="inlineStr">
        <is>
          <t>SoundGuard - AI Smart Glasses That Let Deaf People See Danger and Feel Direction</t>
        </is>
      </c>
      <c r="E26" s="2" t="inlineStr">
        <is>
          <t>Nguyen Viet Trung, Lam An Binh, Trinh Quang Minh, Vo Nguyen Phat, Nguyen Tuan Khanh, Do Ngoc Gia Bao, Nguyen Nhat Minh</t>
        </is>
      </c>
      <c r="F26" s="2" t="inlineStr">
        <is>
          <t>Bronze — pending</t>
        </is>
      </c>
    </row>
    <row r="27">
      <c r="A27" s="2" t="n">
        <v>26</v>
      </c>
      <c r="B27" s="2" t="inlineStr">
        <is>
          <t>Healthcare</t>
        </is>
      </c>
      <c r="C27" s="2" t="inlineStr">
        <is>
          <t>Other</t>
        </is>
      </c>
      <c r="D27" s="2" t="inlineStr">
        <is>
          <t>SafeMama AI</t>
        </is>
      </c>
      <c r="E27" s="2" t="inlineStr">
        <is>
          <t>Nour Abdul Razzak</t>
        </is>
      </c>
      <c r="F27" s="2" t="inlineStr">
        <is>
          <t>Gold</t>
        </is>
      </c>
    </row>
    <row r="28">
      <c r="A28" s="2" t="n">
        <v>27</v>
      </c>
      <c r="B28" s="2" t="inlineStr">
        <is>
          <t>Healthcare</t>
        </is>
      </c>
      <c r="C28" s="2" t="inlineStr">
        <is>
          <t>Vietnam</t>
        </is>
      </c>
      <c r="D28" s="2" t="inlineStr">
        <is>
          <t>Research and Synthesis of CoFe2O4 Materials and Their Application in Drug Delivery</t>
        </is>
      </c>
      <c r="E28" s="2" t="inlineStr">
        <is>
          <t>Pham Bui Quang Minh, Pham Bui Anh Quan, Dao Ngoc Mai Hoa, Nguyen Duc Minh, Nguyen Thuy Duong, Nguyen Tien Minh</t>
        </is>
      </c>
      <c r="F28" s="2" t="inlineStr">
        <is>
          <t>Participation — pending</t>
        </is>
      </c>
    </row>
    <row r="29">
      <c r="A29" s="2" t="n">
        <v>28</v>
      </c>
      <c r="B29" s="2" t="inlineStr">
        <is>
          <t>Healthcare</t>
        </is>
      </c>
      <c r="C29" s="2" t="inlineStr">
        <is>
          <t>Vietnam</t>
        </is>
      </c>
      <c r="D29" s="2" t="inlineStr">
        <is>
          <t>RETIVISION — Diabetic Retinopathy Screening</t>
        </is>
      </c>
      <c r="E29" s="2" t="inlineStr">
        <is>
          <t>Thai Minh Nguyen, Nam Anh Hoang</t>
        </is>
      </c>
      <c r="F29" s="2" t="inlineStr">
        <is>
          <t>Silver</t>
        </is>
      </c>
    </row>
    <row r="30">
      <c r="A30" s="2" t="n">
        <v>29</v>
      </c>
      <c r="B30" s="2" t="inlineStr">
        <is>
          <t>Healthcare</t>
        </is>
      </c>
      <c r="C30" s="2" t="inlineStr">
        <is>
          <t>Vietnam</t>
        </is>
      </c>
      <c r="D30" s="2" t="inlineStr">
        <is>
          <t>MedGuard</t>
        </is>
      </c>
      <c r="E30" s="2" t="inlineStr">
        <is>
          <t>Tran Khoi Nguyen, Nguyen Do Nguyen Khoi</t>
        </is>
      </c>
      <c r="F30" s="2" t="inlineStr">
        <is>
          <t>Gold</t>
        </is>
      </c>
    </row>
    <row r="31">
      <c r="A31" s="2" t="n">
        <v>30</v>
      </c>
      <c r="B31" s="2" t="inlineStr">
        <is>
          <t>Healthcare</t>
        </is>
      </c>
      <c r="C31" s="2" t="inlineStr">
        <is>
          <t>Vietnam</t>
        </is>
      </c>
      <c r="D31" s="2" t="inlineStr">
        <is>
          <t>BrailleGuard AI: Explainable Braille Quality Control for Medicine Packaging</t>
        </is>
      </c>
      <c r="E31" s="2" t="inlineStr">
        <is>
          <t>Truong Quang Tung, Tran Tien Giang Nam, Nguyen Mau Dung</t>
        </is>
      </c>
      <c r="F31" s="2" t="inlineStr">
        <is>
          <t>Silver</t>
        </is>
      </c>
    </row>
    <row r="32">
      <c r="A32" s="2" t="n">
        <v>31</v>
      </c>
      <c r="B32" s="2" t="inlineStr">
        <is>
          <t>Healthcare</t>
        </is>
      </c>
      <c r="C32" s="2" t="inlineStr">
        <is>
          <t>United States</t>
        </is>
      </c>
      <c r="D32" s="2" t="inlineStr">
        <is>
          <t>Detecting Dyslexia Using AI and Eye Tracking</t>
        </is>
      </c>
      <c r="E32" s="2" t="inlineStr">
        <is>
          <t>Yuvan Subbiah</t>
        </is>
      </c>
      <c r="F32" s="2" t="inlineStr">
        <is>
          <t>Gold</t>
        </is>
      </c>
    </row>
    <row r="33">
      <c r="A33" s="2" t="n">
        <v>32</v>
      </c>
      <c r="B33" s="2" t="inlineStr">
        <is>
          <t>Other</t>
        </is>
      </c>
      <c r="C33" s="2" t="inlineStr">
        <is>
          <t>Other</t>
        </is>
      </c>
      <c r="D33" s="2" t="inlineStr">
        <is>
          <t>nova ai</t>
        </is>
      </c>
      <c r="E33" s="2" t="inlineStr">
        <is>
          <t>Cyiza Ndacyayisenga Cleford</t>
        </is>
      </c>
      <c r="F33" s="2" t="inlineStr">
        <is>
          <t>Non-compliant</t>
        </is>
      </c>
    </row>
    <row r="34">
      <c r="A34" s="2" t="n">
        <v>33</v>
      </c>
      <c r="B34" s="2" t="inlineStr">
        <is>
          <t>Other</t>
        </is>
      </c>
      <c r="C34" s="2" t="inlineStr">
        <is>
          <t>Other</t>
        </is>
      </c>
      <c r="D34" s="2" t="inlineStr">
        <is>
          <t>AI-Powered Garment Production Planning Assistant</t>
        </is>
      </c>
      <c r="E34" s="2" t="inlineStr">
        <is>
          <t>Gnanaraj Anburaj, Vijayalakshmi</t>
        </is>
      </c>
      <c r="F34" s="2" t="inlineStr">
        <is>
          <t>Bronze</t>
        </is>
      </c>
    </row>
    <row r="35">
      <c r="A35" s="2" t="n">
        <v>34</v>
      </c>
      <c r="B35" s="2" t="inlineStr">
        <is>
          <t>Other</t>
        </is>
      </c>
      <c r="C35" s="2" t="inlineStr">
        <is>
          <t>Other</t>
        </is>
      </c>
      <c r="D35" s="2" t="inlineStr">
        <is>
          <t>Mimi AI Nanny Robot</t>
        </is>
      </c>
      <c r="E35" s="2" t="inlineStr">
        <is>
          <t>Manseerat Kaur Waraich, Harmanpreet Kaur Waraich</t>
        </is>
      </c>
      <c r="F35" s="2" t="inlineStr">
        <is>
          <t>Participation</t>
        </is>
      </c>
    </row>
    <row r="36">
      <c r="A36" s="2" t="n">
        <v>35</v>
      </c>
      <c r="B36" s="2" t="inlineStr">
        <is>
          <t>Other</t>
        </is>
      </c>
      <c r="C36" s="2" t="inlineStr">
        <is>
          <t>Vietnam</t>
        </is>
      </c>
      <c r="D36" s="2" t="inlineStr">
        <is>
          <t>GuardBot</t>
        </is>
      </c>
      <c r="E36" s="2" t="inlineStr">
        <is>
          <t>Nguyen Vinh Phuc, Nguyen Quang Vy</t>
        </is>
      </c>
      <c r="F36" s="2" t="inlineStr">
        <is>
          <t>Gold</t>
        </is>
      </c>
    </row>
    <row r="37">
      <c r="A37" s="2" t="n">
        <v>36</v>
      </c>
      <c r="B37" s="2" t="inlineStr">
        <is>
          <t>Other</t>
        </is>
      </c>
      <c r="C37" s="2" t="inlineStr">
        <is>
          <t>Other</t>
        </is>
      </c>
      <c r="D37" s="2" t="inlineStr">
        <is>
          <t>Qattrah: AI &amp; Satellite-Powered Smart Irrigation Platform</t>
        </is>
      </c>
      <c r="E37" s="2" t="inlineStr">
        <is>
          <t>Tervina Sameh Fouad</t>
        </is>
      </c>
      <c r="F37" s="2" t="inlineStr">
        <is>
          <t>Silver</t>
        </is>
      </c>
    </row>
    <row r="38">
      <c r="A38" s="2" t="n">
        <v>37</v>
      </c>
      <c r="B38" s="2" t="inlineStr">
        <is>
          <t>Social Good</t>
        </is>
      </c>
      <c r="C38" s="2" t="inlineStr">
        <is>
          <t>Other</t>
        </is>
      </c>
      <c r="D38" s="2" t="inlineStr">
        <is>
          <t>Sovereign AI Workforce</t>
        </is>
      </c>
      <c r="E38" s="2" t="inlineStr">
        <is>
          <t>Fateh Abderrahim Boukhalfa</t>
        </is>
      </c>
      <c r="F38" s="2" t="inlineStr">
        <is>
          <t>Bronze</t>
        </is>
      </c>
    </row>
    <row r="39">
      <c r="A39" s="2" t="n">
        <v>38</v>
      </c>
      <c r="B39" s="2" t="inlineStr">
        <is>
          <t>Social Good</t>
        </is>
      </c>
      <c r="C39" s="2" t="inlineStr">
        <is>
          <t>Korea</t>
        </is>
      </c>
      <c r="D39" s="2" t="inlineStr">
        <is>
          <t>Adaptive Bias Span: A New Method to Decide the Range of Revision in AI's Biased Response</t>
        </is>
      </c>
      <c r="E39" s="2" t="inlineStr">
        <is>
          <t>Gunwoo Ku</t>
        </is>
      </c>
      <c r="F39" s="2" t="inlineStr">
        <is>
          <t>Silver</t>
        </is>
      </c>
    </row>
    <row r="40">
      <c r="A40" s="2" t="n">
        <v>39</v>
      </c>
      <c r="B40" s="2" t="inlineStr">
        <is>
          <t>Social Good</t>
        </is>
      </c>
      <c r="C40" s="2" t="inlineStr">
        <is>
          <t>United States</t>
        </is>
      </c>
      <c r="D40" s="2" t="inlineStr">
        <is>
          <t>ScamGuard</t>
        </is>
      </c>
      <c r="E40" s="2" t="inlineStr">
        <is>
          <t>Hirak Shah</t>
        </is>
      </c>
      <c r="F40" s="2" t="inlineStr">
        <is>
          <t>Gold</t>
        </is>
      </c>
    </row>
    <row r="41">
      <c r="A41" s="2" t="n">
        <v>40</v>
      </c>
      <c r="B41" s="2" t="inlineStr">
        <is>
          <t>Social Good</t>
        </is>
      </c>
      <c r="C41" s="2" t="inlineStr">
        <is>
          <t>Vietnam</t>
        </is>
      </c>
      <c r="D41" s="2" t="inlineStr">
        <is>
          <t>Khoan Da — The App That Will Never Tell You You're Safe</t>
        </is>
      </c>
      <c r="E41" s="2" t="inlineStr">
        <is>
          <t>Nguyen Xuan Minh Quan</t>
        </is>
      </c>
      <c r="F41" s="2" t="inlineStr">
        <is>
          <t>Grand Prix (candidate)</t>
        </is>
      </c>
    </row>
    <row r="42">
      <c r="A42" s="2" t="n">
        <v>41</v>
      </c>
      <c r="B42" s="2" t="inlineStr">
        <is>
          <t>Social Good</t>
        </is>
      </c>
      <c r="C42" s="2" t="inlineStr">
        <is>
          <t>Other</t>
        </is>
      </c>
      <c r="D42" s="2" t="inlineStr">
        <is>
          <t>AI-Enabled Adaptive Communication Resilience System</t>
        </is>
      </c>
      <c r="E42" s="2" t="inlineStr">
        <is>
          <t>Nishanth S</t>
        </is>
      </c>
      <c r="F42" s="2" t="inlineStr">
        <is>
          <t>Bronze</t>
        </is>
      </c>
    </row>
    <row r="43">
      <c r="A43" s="2" t="n">
        <v>42</v>
      </c>
      <c r="B43" s="2" t="inlineStr">
        <is>
          <t>Social Good</t>
        </is>
      </c>
      <c r="C43" s="2" t="inlineStr">
        <is>
          <t>Malaysia</t>
        </is>
      </c>
      <c r="D43" s="2" t="inlineStr">
        <is>
          <t>Project Guardian Angel</t>
        </is>
      </c>
      <c r="E43" s="2" t="inlineStr">
        <is>
          <t>Regene Ng Kai Xuan, Kong Si Qing, Eng Sze Hui, Lee Shu Peng, Wee Siao See</t>
        </is>
      </c>
      <c r="F43" s="2" t="inlineStr">
        <is>
          <t>Bronze</t>
        </is>
      </c>
    </row>
    <row r="44">
      <c r="A44" s="2" t="n">
        <v>43</v>
      </c>
      <c r="B44" s="2" t="inlineStr">
        <is>
          <t>Social Good</t>
        </is>
      </c>
      <c r="C44" s="2" t="inlineStr">
        <is>
          <t>Malaysia</t>
        </is>
      </c>
      <c r="D44" s="2" t="inlineStr">
        <is>
          <t>QueueLess Malaysia: AI-Powered Government Services</t>
        </is>
      </c>
      <c r="E44" s="2" t="inlineStr">
        <is>
          <t>Tan Yu Xi, Iong Xin Hui, Lim Ern Xin, Tan Yi Sun, Ng Jia Xin</t>
        </is>
      </c>
      <c r="F44" s="2" t="inlineStr">
        <is>
          <t>Bronze</t>
        </is>
      </c>
    </row>
    <row r="45">
      <c r="A45" s="2" t="n">
        <v>44</v>
      </c>
      <c r="B45" s="2" t="inlineStr">
        <is>
          <t>Transportation</t>
        </is>
      </c>
      <c r="C45" s="2" t="inlineStr">
        <is>
          <t>Korea</t>
        </is>
      </c>
      <c r="D45" s="2" t="inlineStr">
        <is>
          <t>Eskoot: AI-Powered Micro-terrain Hazard Warning Module for E-Scooters</t>
        </is>
      </c>
      <c r="E45" s="2" t="inlineStr">
        <is>
          <t>Choisung Park</t>
        </is>
      </c>
      <c r="F45" s="2" t="inlineStr">
        <is>
          <t>Gold</t>
        </is>
      </c>
    </row>
  </sheetData>
  <autoFilter ref="A1:F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8" customWidth="1" min="3" max="3"/>
    <col width="22" customWidth="1" min="4" max="4"/>
    <col width="14" customWidth="1" min="5" max="5"/>
    <col width="62" customWidth="1" min="6" max="6"/>
    <col width="10" customWidth="1" min="7" max="7"/>
    <col width="56" customWidth="1" min="8" max="8"/>
    <col width="46" customWidth="1" min="9" max="9"/>
    <col width="15" customWidth="1" min="10" max="10"/>
    <col width="54" customWidth="1" min="11" max="11"/>
  </cols>
  <sheetData>
    <row r="1" ht="22" customHeight="1">
      <c r="A1" s="3" t="inlineStr">
        <is>
          <t>Ref</t>
        </is>
      </c>
      <c r="B1" s="3" t="inlineStr">
        <is>
          <t>Rank /44</t>
        </is>
      </c>
      <c r="C1" s="3" t="inlineStr">
        <is>
          <t>Score</t>
        </is>
      </c>
      <c r="D1" s="3" t="inlineStr">
        <is>
          <t>Award</t>
        </is>
      </c>
      <c r="E1" s="3" t="inlineStr">
        <is>
          <t>Category</t>
        </is>
      </c>
      <c r="F1" s="3" t="inlineStr">
        <is>
          <t>Project Title</t>
        </is>
      </c>
      <c r="G1" s="3" t="inlineStr">
        <is>
          <t>Team Size</t>
        </is>
      </c>
      <c r="H1" s="3" t="inlineStr">
        <is>
          <t>Student Name</t>
        </is>
      </c>
      <c r="I1" s="3" t="inlineStr">
        <is>
          <t>School / Organisation</t>
        </is>
      </c>
      <c r="J1" s="3" t="inlineStr">
        <is>
          <t>Entry Fee</t>
        </is>
      </c>
      <c r="K1" s="3" t="inlineStr">
        <is>
          <t>Open flags</t>
        </is>
      </c>
    </row>
    <row r="2">
      <c r="A2" s="2" t="inlineStr">
        <is>
          <t>B2</t>
        </is>
      </c>
      <c r="B2" s="2" t="n">
        <v>12</v>
      </c>
      <c r="C2" s="2" t="n">
        <v>82</v>
      </c>
      <c r="D2" s="2" t="inlineStr">
        <is>
          <t>Silver — pending</t>
        </is>
      </c>
      <c r="E2" s="2" t="inlineStr">
        <is>
          <t>Healthcare</t>
        </is>
      </c>
      <c r="F2" s="2" t="inlineStr">
        <is>
          <t>Application of Machine Learning Algorithms to Identify the Effects of Temperature and pH on Cellulase Activity in Green Pharmaceutical Production</t>
        </is>
      </c>
      <c r="G2" s="2" t="n">
        <v>6</v>
      </c>
      <c r="H2" s="2" t="inlineStr">
        <is>
          <t>Le Dieu Minh, Vu Quang Hai, Vo Duc Hoang, Ton Duc Minh, Bui Quoc Anh, Phan Nguyen Nhat Quynh</t>
        </is>
      </c>
      <c r="I2" s="2" t="inlineStr">
        <is>
          <t>BKSTAR Education and Technology JSC</t>
        </is>
      </c>
      <c r="J2" s="2" t="inlineStr">
        <is>
          <t>Unbilled</t>
        </is>
      </c>
      <c r="K2" s="2" t="inlineStr">
        <is>
          <t>Two categories ticked (Healthcare + Environment); 6 members vs cap of 5; no fee record</t>
        </is>
      </c>
    </row>
    <row r="3">
      <c r="A3" s="2" t="inlineStr">
        <is>
          <t>B1</t>
        </is>
      </c>
      <c r="B3" s="2" t="n">
        <v>20</v>
      </c>
      <c r="C3" s="2" t="n">
        <v>77</v>
      </c>
      <c r="D3" s="2" t="inlineStr">
        <is>
          <t>Bronze — pending</t>
        </is>
      </c>
      <c r="E3" s="2" t="inlineStr">
        <is>
          <t>Healthcare</t>
        </is>
      </c>
      <c r="F3" s="2" t="inlineStr">
        <is>
          <t>MediCare Hub - All-in-One Smart Home Healthcare Ecosystem</t>
        </is>
      </c>
      <c r="G3" s="2" t="n">
        <v>6</v>
      </c>
      <c r="H3" s="2" t="inlineStr">
        <is>
          <t>Nguyen Viet Anh, Ta Quang Minh, Vu Ngoc Linh, Tran Viet Anh, Vu Sy Hieu Nghia, Lam An Binh</t>
        </is>
      </c>
      <c r="I3" s="2" t="inlineStr">
        <is>
          <t>BKSTAR Education and Technology JSC</t>
        </is>
      </c>
      <c r="J3" s="2" t="inlineStr">
        <is>
          <t>Unbilled</t>
        </is>
      </c>
      <c r="K3" s="2" t="inlineStr">
        <is>
          <t>6 members vs cap of 5; Lam An Binh also on B4; no fee record</t>
        </is>
      </c>
    </row>
    <row r="4">
      <c r="A4" s="2" t="inlineStr">
        <is>
          <t>B5</t>
        </is>
      </c>
      <c r="B4" s="2" t="n">
        <v>24</v>
      </c>
      <c r="C4" s="2" t="n">
        <v>75</v>
      </c>
      <c r="D4" s="2" t="inlineStr">
        <is>
          <t>Bronze — pending</t>
        </is>
      </c>
      <c r="E4" s="2" t="inlineStr">
        <is>
          <t>Environment</t>
        </is>
      </c>
      <c r="F4" s="2" t="inlineStr">
        <is>
          <t>ROV for Aquatic Integrity</t>
        </is>
      </c>
      <c r="G4" s="2" t="n">
        <v>7</v>
      </c>
      <c r="H4" s="2" t="inlineStr">
        <is>
          <t>Tran An Phu, Uong Nhat Phong, Duong Tuan Dung, Nguyen Bach Duong, Bui Thai An, Vo Minh Khoi, Pham Chu Minh Quang</t>
        </is>
      </c>
      <c r="I4" s="2" t="inlineStr">
        <is>
          <t>BKSTAR Education and Technology JSC</t>
        </is>
      </c>
      <c r="J4" s="2" t="inlineStr">
        <is>
          <t>Unbilled</t>
        </is>
      </c>
      <c r="K4" s="2" t="inlineStr">
        <is>
          <t>7 members vs cap of 5; contradictory registration boxes; no fee record</t>
        </is>
      </c>
    </row>
    <row r="5">
      <c r="A5" s="2" t="inlineStr">
        <is>
          <t>B4</t>
        </is>
      </c>
      <c r="B5" s="2" t="n">
        <v>28</v>
      </c>
      <c r="C5" s="2" t="n">
        <v>72</v>
      </c>
      <c r="D5" s="2" t="inlineStr">
        <is>
          <t>Bronze — pending</t>
        </is>
      </c>
      <c r="E5" s="2" t="inlineStr">
        <is>
          <t>Healthcare</t>
        </is>
      </c>
      <c r="F5" s="2" t="inlineStr">
        <is>
          <t>SoundGuard - AI Smart Glasses That Let Deaf People See Danger and Feel Direction</t>
        </is>
      </c>
      <c r="G5" s="2" t="n">
        <v>7</v>
      </c>
      <c r="H5" s="2" t="inlineStr">
        <is>
          <t>Nguyen Viet Trung, Lam An Binh, Trinh Quang Minh, Vo Nguyen Phat, Nguyen Tuan Khanh, Do Ngoc Gia Bao, Nguyen Nhat Minh</t>
        </is>
      </c>
      <c r="I5" s="2" t="inlineStr">
        <is>
          <t>BKSTAR Education and Technology JSC</t>
        </is>
      </c>
      <c r="J5" s="2" t="inlineStr">
        <is>
          <t>Unbilled</t>
        </is>
      </c>
      <c r="K5" s="2" t="inlineStr">
        <is>
          <t>Two categories ticked (Healthcare + Social Good); 7 members vs cap of 5; Lam An Binh also on B1; no fee record</t>
        </is>
      </c>
    </row>
    <row r="6">
      <c r="A6" s="2" t="inlineStr">
        <is>
          <t>B3</t>
        </is>
      </c>
      <c r="B6" s="2" t="n">
        <v>43</v>
      </c>
      <c r="C6" s="2" t="n">
        <v>50</v>
      </c>
      <c r="D6" s="2" t="inlineStr">
        <is>
          <t>Participation — pending</t>
        </is>
      </c>
      <c r="E6" s="2" t="inlineStr">
        <is>
          <t>Finance</t>
        </is>
      </c>
      <c r="F6" s="2" t="inlineStr">
        <is>
          <t>Digital Transformation and Internationalization Capability: A Strategic Business Analysis of SMEs in Vietnam</t>
        </is>
      </c>
      <c r="G6" s="2" t="n">
        <v>7</v>
      </c>
      <c r="H6" s="2" t="inlineStr">
        <is>
          <t>Chu Doan Phuong Chi, Nguyen Phi Long, Tran Nguyen Bao Ngoc, Trinh Phuong Ha, Ngo Thi Nha Linh, Vu Thao Uyen, Ta Hoang Minh Triet</t>
        </is>
      </c>
      <c r="I6" s="2" t="inlineStr">
        <is>
          <t>BKSTAR Education and Technology JSC</t>
        </is>
      </c>
      <c r="J6" s="2" t="inlineStr">
        <is>
          <t>Unbilled</t>
        </is>
      </c>
      <c r="K6" s="2" t="inlineStr">
        <is>
          <t>INCOMPLETE: required video blank, no slides; miscategorised as Finance; 7 members vs cap of 5; no fee record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8" customWidth="1" min="3" max="3"/>
    <col width="22" customWidth="1" min="4" max="4"/>
    <col width="14" customWidth="1" min="5" max="5"/>
    <col width="62" customWidth="1" min="6" max="6"/>
    <col width="10" customWidth="1" min="7" max="7"/>
    <col width="56" customWidth="1" min="8" max="8"/>
    <col width="46" customWidth="1" min="9" max="9"/>
    <col width="15" customWidth="1" min="10" max="10"/>
    <col width="54" customWidth="1" min="11" max="11"/>
  </cols>
  <sheetData>
    <row r="1" ht="22" customHeight="1">
      <c r="A1" s="3" t="inlineStr">
        <is>
          <t>Ref</t>
        </is>
      </c>
      <c r="B1" s="3" t="inlineStr">
        <is>
          <t>Rank /44</t>
        </is>
      </c>
      <c r="C1" s="3" t="inlineStr">
        <is>
          <t>Score</t>
        </is>
      </c>
      <c r="D1" s="3" t="inlineStr">
        <is>
          <t>Award</t>
        </is>
      </c>
      <c r="E1" s="3" t="inlineStr">
        <is>
          <t>Category</t>
        </is>
      </c>
      <c r="F1" s="3" t="inlineStr">
        <is>
          <t>Project Title</t>
        </is>
      </c>
      <c r="G1" s="3" t="inlineStr">
        <is>
          <t>Team Size</t>
        </is>
      </c>
      <c r="H1" s="3" t="inlineStr">
        <is>
          <t>Student Name</t>
        </is>
      </c>
      <c r="I1" s="3" t="inlineStr">
        <is>
          <t>School / Organisation</t>
        </is>
      </c>
      <c r="J1" s="3" t="inlineStr">
        <is>
          <t>Entry Fee</t>
        </is>
      </c>
      <c r="K1" s="3" t="inlineStr">
        <is>
          <t>Open flags</t>
        </is>
      </c>
    </row>
    <row r="2">
      <c r="A2" s="2" t="inlineStr">
        <is>
          <t>C2</t>
        </is>
      </c>
      <c r="B2" s="2" t="n">
        <v>34</v>
      </c>
      <c r="C2" s="2" t="n">
        <v>70</v>
      </c>
      <c r="D2" s="2" t="inlineStr">
        <is>
          <t>Bronze — pending</t>
        </is>
      </c>
      <c r="E2" s="2" t="inlineStr">
        <is>
          <t>Finance</t>
        </is>
      </c>
      <c r="F2" s="2" t="inlineStr">
        <is>
          <t>AutoInsure AI</t>
        </is>
      </c>
      <c r="G2" s="2" t="n">
        <v>4</v>
      </c>
      <c r="H2" s="2" t="inlineStr">
        <is>
          <t>Vu Giang Nam, Vu Ha Bich Diep, Vo Nguyen Minh Thu, Nguyen Minh Dung</t>
        </is>
      </c>
      <c r="I2" s="2" t="inlineStr">
        <is>
          <t>Vinschool The Harmony; Foreign Language Specialized School; Vinschool Central Park; Concordia International School Hanoi</t>
        </is>
      </c>
      <c r="J2" s="2" t="inlineStr">
        <is>
          <t>Paid (offline)</t>
        </is>
      </c>
      <c r="K2" s="2" t="inlineStr">
        <is>
          <t>No submission form; no database record</t>
        </is>
      </c>
    </row>
    <row r="3">
      <c r="A3" s="2" t="inlineStr">
        <is>
          <t>C3</t>
        </is>
      </c>
      <c r="B3" s="2" t="n">
        <v>35</v>
      </c>
      <c r="C3" s="2" t="n">
        <v>70</v>
      </c>
      <c r="D3" s="2" t="inlineStr">
        <is>
          <t>Bronze — pending</t>
        </is>
      </c>
      <c r="E3" s="2" t="inlineStr">
        <is>
          <t>Environment</t>
        </is>
      </c>
      <c r="F3" s="2" t="inlineStr">
        <is>
          <t>Startup with a Project Using Nano-TiO2 Particles to Treat Water Pollution in Van Phuc Silk Village</t>
        </is>
      </c>
      <c r="G3" s="2" t="n">
        <v>6</v>
      </c>
      <c r="H3" s="2" t="inlineStr">
        <is>
          <t>Nguyen Linh Chi, Nguyen Bao Khanh, Le Thi Thanh Hang, Nguyen Thuy Duong, Ho Le Gia An, Hoang Dang Phuc</t>
        </is>
      </c>
      <c r="I3" s="2" t="inlineStr">
        <is>
          <t>Foreign Trade University; Foreign Language Specialized School; Yen Hoa High School; Le Hong Phong Gifted; Hong Bang High School</t>
        </is>
      </c>
      <c r="J3" s="2" t="inlineStr">
        <is>
          <t>Paid (offline)</t>
        </is>
      </c>
      <c r="K3" s="2" t="inlineStr">
        <is>
          <t>NO AI COMPONENT; 6 members vs cap of 5; no submission form</t>
        </is>
      </c>
    </row>
    <row r="4">
      <c r="A4" s="2" t="inlineStr">
        <is>
          <t>C6</t>
        </is>
      </c>
      <c r="B4" s="2" t="n">
        <v>36</v>
      </c>
      <c r="C4" s="2" t="n">
        <v>70</v>
      </c>
      <c r="D4" s="2" t="inlineStr">
        <is>
          <t>Bronze — pending</t>
        </is>
      </c>
      <c r="E4" s="2" t="inlineStr">
        <is>
          <t>Environment</t>
        </is>
      </c>
      <c r="F4" s="2" t="inlineStr">
        <is>
          <t>Development of a Triboelectric Nanogenerator for Self-Powered Portable Electronic Devices</t>
        </is>
      </c>
      <c r="G4" s="2" t="n">
        <v>5</v>
      </c>
      <c r="H4" s="2" t="inlineStr">
        <is>
          <t>Pham Xuan Son, Nguyen Minh Duc, Nguyen Vu Manh Khang, Nguyen Nhat Minh, Quan Minh Hong Anh</t>
        </is>
      </c>
      <c r="I4" s="2" t="inlineStr">
        <is>
          <t>HUS Gifted; Newton Grammar School; Le Quy Don Gifted; HNUE Gifted</t>
        </is>
      </c>
      <c r="J4" s="2" t="inlineStr">
        <is>
          <t>Paid (offline)</t>
        </is>
      </c>
      <c r="K4" s="2" t="inlineStr">
        <is>
          <t>NO AI COMPONENT; no submission form</t>
        </is>
      </c>
    </row>
    <row r="5">
      <c r="A5" s="2" t="inlineStr">
        <is>
          <t>C8</t>
        </is>
      </c>
      <c r="B5" s="2" t="n">
        <v>39</v>
      </c>
      <c r="C5" s="2" t="n">
        <v>61</v>
      </c>
      <c r="D5" s="2" t="inlineStr">
        <is>
          <t>Participation — pending</t>
        </is>
      </c>
      <c r="E5" s="2" t="inlineStr">
        <is>
          <t>Healthcare</t>
        </is>
      </c>
      <c r="F5" s="2" t="inlineStr">
        <is>
          <t>Fabrication of Fe2O3 Magnetic Nanoparticles for Localized Hyperthermia in Cancer Treatment</t>
        </is>
      </c>
      <c r="G5" s="2" t="n">
        <v>2</v>
      </c>
      <c r="H5" s="2" t="inlineStr">
        <is>
          <t>Mac Duc Tung, Tran Phuoc Hung</t>
        </is>
      </c>
      <c r="I5" s="2" t="inlineStr">
        <is>
          <t>Hon Gai High School, Ha Long; UK Academy International Bilingual School, Ha Long</t>
        </is>
      </c>
      <c r="J5" s="2" t="inlineStr">
        <is>
          <t>Paid (offline)</t>
        </is>
      </c>
      <c r="K5" s="2" t="inlineStr">
        <is>
          <t>NO AI COMPONENT; no submission form</t>
        </is>
      </c>
    </row>
    <row r="6">
      <c r="A6" s="2" t="inlineStr">
        <is>
          <t>C5</t>
        </is>
      </c>
      <c r="B6" s="2" t="n">
        <v>41</v>
      </c>
      <c r="C6" s="2" t="n">
        <v>58</v>
      </c>
      <c r="D6" s="2" t="inlineStr">
        <is>
          <t>Participation — pending</t>
        </is>
      </c>
      <c r="E6" s="2" t="inlineStr">
        <is>
          <t>Healthcare</t>
        </is>
      </c>
      <c r="F6" s="2" t="inlineStr">
        <is>
          <t>Research and Synthesis of CoFe2O4 Materials and Their Application in Drug Delivery</t>
        </is>
      </c>
      <c r="G6" s="2" t="n">
        <v>6</v>
      </c>
      <c r="H6" s="2" t="inlineStr">
        <is>
          <t>Pham Bui Quang Minh, Pham Bui Anh Quan, Dao Ngoc Mai Hoa, Nguyen Duc Minh, Nguyen Thuy Duong, Nguyen Tien Minh</t>
        </is>
      </c>
      <c r="I6" s="2" t="inlineStr">
        <is>
          <t>Hanoi - Amsterdam Gifted; HNUE Gifted; Nguyen Van Cu High School</t>
        </is>
      </c>
      <c r="J6" s="2" t="inlineStr">
        <is>
          <t>Paid (offline)</t>
        </is>
      </c>
      <c r="K6" s="2" t="inlineStr">
        <is>
          <t>NO AI COMPONENT; 6 members vs cap of 5; no submission form</t>
        </is>
      </c>
    </row>
    <row r="7">
      <c r="A7" s="2" t="inlineStr">
        <is>
          <t>C4</t>
        </is>
      </c>
      <c r="B7" s="2" t="n">
        <v>42</v>
      </c>
      <c r="C7" s="2" t="n">
        <v>57</v>
      </c>
      <c r="D7" s="2" t="inlineStr">
        <is>
          <t>Participation — pending</t>
        </is>
      </c>
      <c r="E7" s="2" t="inlineStr">
        <is>
          <t>Environment</t>
        </is>
      </c>
      <c r="F7" s="2" t="inlineStr">
        <is>
          <t>Copper Oxide Nanomaterials for Solar Energy Harvesting and Photovoltaic Applications</t>
        </is>
      </c>
      <c r="G7" s="2" t="n">
        <v>4</v>
      </c>
      <c r="H7" s="2" t="inlineStr">
        <is>
          <t>Pham Dang Khoa, Tran My Bao Ky, Hoang Anh Thu, Nguyen Gia Hung</t>
        </is>
      </c>
      <c r="I7" s="2" t="inlineStr">
        <is>
          <t>Tran Dai Nghia Secondary and High School; The Western Australian School System; Newton Grammar School; M.V. Lomonosov Secondary and High School</t>
        </is>
      </c>
      <c r="J7" s="2" t="inlineStr">
        <is>
          <t>Paid (offline)</t>
        </is>
      </c>
      <c r="K7" s="2" t="inlineStr">
        <is>
          <t>NO AI COMPONENT; no submission form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7" customWidth="1" min="3" max="3"/>
    <col width="11" customWidth="1" min="4" max="4"/>
    <col width="22" customWidth="1" min="5" max="5"/>
    <col width="14" customWidth="1" min="6" max="6"/>
    <col width="18" customWidth="1" min="7" max="7"/>
    <col width="30" customWidth="1" min="8" max="8"/>
    <col width="44" customWidth="1" min="9" max="9"/>
    <col width="62" customWidth="1" min="10" max="10"/>
    <col width="10" customWidth="1" min="11" max="11"/>
    <col width="56" customWidth="1" min="12" max="12"/>
    <col width="15" customWidth="1" min="13" max="13"/>
    <col width="66" customWidth="1" min="14" max="14"/>
    <col width="54" customWidth="1" min="15" max="15"/>
  </cols>
  <sheetData>
    <row r="1" ht="22" customHeight="1">
      <c r="A1" s="1" t="inlineStr">
        <is>
          <t>Rank /44</t>
        </is>
      </c>
      <c r="B1" s="1" t="inlineStr">
        <is>
          <t>Batch</t>
        </is>
      </c>
      <c r="C1" s="1" t="inlineStr">
        <is>
          <t>Ref</t>
        </is>
      </c>
      <c r="D1" s="1" t="inlineStr">
        <is>
          <t>Total Score</t>
        </is>
      </c>
      <c r="E1" s="1" t="inlineStr">
        <is>
          <t>Award</t>
        </is>
      </c>
      <c r="F1" s="1" t="inlineStr">
        <is>
          <t>Category</t>
        </is>
      </c>
      <c r="G1" s="1" t="inlineStr">
        <is>
          <t>Country</t>
        </is>
      </c>
      <c r="H1" s="1" t="inlineStr">
        <is>
          <t>Country (unconfirmed hint)</t>
        </is>
      </c>
      <c r="I1" s="1" t="inlineStr">
        <is>
          <t>School / Organisation</t>
        </is>
      </c>
      <c r="J1" s="1" t="inlineStr">
        <is>
          <t>Project Title</t>
        </is>
      </c>
      <c r="K1" s="1" t="inlineStr">
        <is>
          <t>Team Size</t>
        </is>
      </c>
      <c r="L1" s="1" t="inlineStr">
        <is>
          <t>Student Name</t>
        </is>
      </c>
      <c r="M1" s="1" t="inlineStr">
        <is>
          <t>Entry Fee</t>
        </is>
      </c>
      <c r="N1" s="1" t="inlineStr">
        <is>
          <t>Judging Note</t>
        </is>
      </c>
      <c r="O1" s="1" t="inlineStr">
        <is>
          <t>Open flags</t>
        </is>
      </c>
    </row>
    <row r="2">
      <c r="A2" s="2" t="n">
        <v>1</v>
      </c>
      <c r="B2" s="2" t="inlineStr">
        <is>
          <t>Online (database)</t>
        </is>
      </c>
      <c r="C2" s="2" t="inlineStr">
        <is>
          <t>01</t>
        </is>
      </c>
      <c r="D2" s="2" t="n">
        <v>96</v>
      </c>
      <c r="E2" s="2" t="inlineStr">
        <is>
          <t>Grand Prix (candidate)</t>
        </is>
      </c>
      <c r="F2" s="2" t="inlineStr">
        <is>
          <t>Social Good</t>
        </is>
      </c>
      <c r="G2" s="2" t="inlineStr">
        <is>
          <t>Vietnam</t>
        </is>
      </c>
      <c r="H2" s="2" t="inlineStr"/>
      <c r="I2" s="2" t="inlineStr">
        <is>
          <t>THPT Cau Giay</t>
        </is>
      </c>
      <c r="J2" s="2" t="inlineStr">
        <is>
          <t>Khoan Da — The App That Will Never Tell You You're Safe</t>
        </is>
      </c>
      <c r="K2" s="2" t="n">
        <v>1</v>
      </c>
      <c r="L2" s="2" t="inlineStr">
        <is>
          <t>Nguyen Xuan Minh Quan</t>
        </is>
      </c>
      <c r="M2" s="2" t="inlineStr">
        <is>
          <t>Unpaid</t>
        </is>
      </c>
      <c r="N2" s="2" t="inlineStr">
        <is>
          <t>Highest score in the field. Entry fee unpaid — award status needs a decision.</t>
        </is>
      </c>
      <c r="O2" s="2" t="inlineStr"/>
    </row>
    <row r="3">
      <c r="A3" s="2" t="n">
        <v>2</v>
      </c>
      <c r="B3" s="2" t="inlineStr">
        <is>
          <t>Online (database)</t>
        </is>
      </c>
      <c r="C3" s="2" t="inlineStr">
        <is>
          <t>02</t>
        </is>
      </c>
      <c r="D3" s="2" t="n">
        <v>93</v>
      </c>
      <c r="E3" s="2" t="inlineStr">
        <is>
          <t>Gold</t>
        </is>
      </c>
      <c r="F3" s="2" t="inlineStr">
        <is>
          <t>Healthcare</t>
        </is>
      </c>
      <c r="G3" s="2" t="inlineStr">
        <is>
          <t>Other</t>
        </is>
      </c>
      <c r="H3" s="2" t="inlineStr">
        <is>
          <t>United Arab Emirates (from school/email domain — unconfirmed)</t>
        </is>
      </c>
      <c r="I3" s="2" t="inlineStr">
        <is>
          <t>American Community School Abu Dhabi</t>
        </is>
      </c>
      <c r="J3" s="2" t="inlineStr">
        <is>
          <t>SafeMama AI</t>
        </is>
      </c>
      <c r="K3" s="2" t="n">
        <v>1</v>
      </c>
      <c r="L3" s="2" t="inlineStr">
        <is>
          <t>Nour Abdul Razzak</t>
        </is>
      </c>
      <c r="M3" s="2" t="inlineStr">
        <is>
          <t>Paid</t>
        </is>
      </c>
      <c r="N3" s="2" t="inlineStr"/>
      <c r="O3" s="2" t="inlineStr"/>
    </row>
    <row r="4">
      <c r="A4" s="2" t="n">
        <v>3</v>
      </c>
      <c r="B4" s="2" t="inlineStr">
        <is>
          <t>Online (database)</t>
        </is>
      </c>
      <c r="C4" s="2" t="inlineStr">
        <is>
          <t>03</t>
        </is>
      </c>
      <c r="D4" s="2" t="n">
        <v>88</v>
      </c>
      <c r="E4" s="2" t="inlineStr">
        <is>
          <t>Gold</t>
        </is>
      </c>
      <c r="F4" s="2" t="inlineStr">
        <is>
          <t>Healthcare</t>
        </is>
      </c>
      <c r="G4" s="2" t="inlineStr">
        <is>
          <t>Vietnam</t>
        </is>
      </c>
      <c r="H4" s="2" t="inlineStr"/>
      <c r="I4" s="2" t="inlineStr">
        <is>
          <t>Le Quy Don High School for the Gifted, Da Nang</t>
        </is>
      </c>
      <c r="J4" s="2" t="inlineStr">
        <is>
          <t>MedGuard</t>
        </is>
      </c>
      <c r="K4" s="2" t="n">
        <v>2</v>
      </c>
      <c r="L4" s="2" t="inlineStr">
        <is>
          <t>Tran Khoi Nguyen, Nguyen Do Nguyen Khoi</t>
        </is>
      </c>
      <c r="M4" s="2" t="inlineStr">
        <is>
          <t>Paid</t>
        </is>
      </c>
      <c r="N4" s="2" t="inlineStr"/>
      <c r="O4" s="2" t="inlineStr"/>
    </row>
    <row r="5">
      <c r="A5" s="2" t="n">
        <v>4</v>
      </c>
      <c r="B5" s="2" t="inlineStr">
        <is>
          <t>Online (database)</t>
        </is>
      </c>
      <c r="C5" s="2" t="inlineStr">
        <is>
          <t>04</t>
        </is>
      </c>
      <c r="D5" s="2" t="n">
        <v>88</v>
      </c>
      <c r="E5" s="2" t="inlineStr">
        <is>
          <t>Gold</t>
        </is>
      </c>
      <c r="F5" s="2" t="inlineStr">
        <is>
          <t>Other</t>
        </is>
      </c>
      <c r="G5" s="2" t="inlineStr">
        <is>
          <t>Vietnam</t>
        </is>
      </c>
      <c r="H5" s="2" t="inlineStr"/>
      <c r="I5" s="2" t="inlineStr">
        <is>
          <t>International Schools of North America</t>
        </is>
      </c>
      <c r="J5" s="2" t="inlineStr">
        <is>
          <t>GuardBot</t>
        </is>
      </c>
      <c r="K5" s="2" t="n">
        <v>2</v>
      </c>
      <c r="L5" s="2" t="inlineStr">
        <is>
          <t>Nguyen Vinh Phuc, Nguyen Quang Vy</t>
        </is>
      </c>
      <c r="M5" s="2" t="inlineStr">
        <is>
          <t>Paid</t>
        </is>
      </c>
      <c r="N5" s="2" t="inlineStr"/>
      <c r="O5" s="2" t="inlineStr"/>
    </row>
    <row r="6">
      <c r="A6" s="2" t="n">
        <v>5</v>
      </c>
      <c r="B6" s="2" t="inlineStr">
        <is>
          <t>Online (database)</t>
        </is>
      </c>
      <c r="C6" s="2" t="inlineStr">
        <is>
          <t>05</t>
        </is>
      </c>
      <c r="D6" s="2" t="n">
        <v>87</v>
      </c>
      <c r="E6" s="2" t="inlineStr">
        <is>
          <t>Gold</t>
        </is>
      </c>
      <c r="F6" s="2" t="inlineStr">
        <is>
          <t>Transportation</t>
        </is>
      </c>
      <c r="G6" s="2" t="inlineStr">
        <is>
          <t>Korea</t>
        </is>
      </c>
      <c r="H6" s="2" t="inlineStr"/>
      <c r="I6" s="2" t="inlineStr">
        <is>
          <t>North London Collegiate School Jeju</t>
        </is>
      </c>
      <c r="J6" s="2" t="inlineStr">
        <is>
          <t>Eskoot: AI-Powered Micro-terrain Hazard Warning Module for E-Scooters</t>
        </is>
      </c>
      <c r="K6" s="2" t="n">
        <v>1</v>
      </c>
      <c r="L6" s="2" t="inlineStr">
        <is>
          <t>Choisung Park</t>
        </is>
      </c>
      <c r="M6" s="2" t="inlineStr">
        <is>
          <t>Paid</t>
        </is>
      </c>
      <c r="N6" s="2" t="inlineStr">
        <is>
          <t>Submitted 44 min before deadline — on time.</t>
        </is>
      </c>
      <c r="O6" s="2" t="inlineStr"/>
    </row>
    <row r="7">
      <c r="A7" s="2" t="n">
        <v>6</v>
      </c>
      <c r="B7" s="2" t="inlineStr">
        <is>
          <t>Online (database)</t>
        </is>
      </c>
      <c r="C7" s="2" t="inlineStr">
        <is>
          <t>06</t>
        </is>
      </c>
      <c r="D7" s="2" t="n">
        <v>87</v>
      </c>
      <c r="E7" s="2" t="inlineStr">
        <is>
          <t>Gold</t>
        </is>
      </c>
      <c r="F7" s="2" t="inlineStr">
        <is>
          <t>Healthcare</t>
        </is>
      </c>
      <c r="G7" s="2" t="inlineStr">
        <is>
          <t>United States</t>
        </is>
      </c>
      <c r="H7" s="2" t="inlineStr"/>
      <c r="I7" s="2" t="inlineStr">
        <is>
          <t>Carlmont High School</t>
        </is>
      </c>
      <c r="J7" s="2" t="inlineStr">
        <is>
          <t>Detecting Dyslexia Using AI and Eye Tracking</t>
        </is>
      </c>
      <c r="K7" s="2" t="n">
        <v>1</v>
      </c>
      <c r="L7" s="2" t="inlineStr">
        <is>
          <t>Yuvan Subbiah</t>
        </is>
      </c>
      <c r="M7" s="2" t="inlineStr">
        <is>
          <t>Paid</t>
        </is>
      </c>
      <c r="N7" s="2" t="inlineStr"/>
      <c r="O7" s="2" t="inlineStr"/>
    </row>
    <row r="8">
      <c r="A8" s="2" t="n">
        <v>7</v>
      </c>
      <c r="B8" s="2" t="inlineStr">
        <is>
          <t>Online (database)</t>
        </is>
      </c>
      <c r="C8" s="2" t="inlineStr">
        <is>
          <t>07</t>
        </is>
      </c>
      <c r="D8" s="2" t="n">
        <v>87</v>
      </c>
      <c r="E8" s="2" t="inlineStr">
        <is>
          <t>Gold</t>
        </is>
      </c>
      <c r="F8" s="2" t="inlineStr">
        <is>
          <t>Social Good</t>
        </is>
      </c>
      <c r="G8" s="2" t="inlineStr">
        <is>
          <t>United States</t>
        </is>
      </c>
      <c r="H8" s="2" t="inlineStr"/>
      <c r="I8" s="2" t="inlineStr">
        <is>
          <t>Thomas Edison EnergySmart Charter School</t>
        </is>
      </c>
      <c r="J8" s="2" t="inlineStr">
        <is>
          <t>ScamGuard</t>
        </is>
      </c>
      <c r="K8" s="2" t="n">
        <v>1</v>
      </c>
      <c r="L8" s="2" t="inlineStr">
        <is>
          <t>Hirak Shah</t>
        </is>
      </c>
      <c r="M8" s="2" t="inlineStr">
        <is>
          <t>Paid</t>
        </is>
      </c>
      <c r="N8" s="2" t="inlineStr"/>
      <c r="O8" s="2" t="inlineStr"/>
    </row>
    <row r="9">
      <c r="A9" s="2" t="n">
        <v>8</v>
      </c>
      <c r="B9" s="2" t="inlineStr">
        <is>
          <t>Online (database)</t>
        </is>
      </c>
      <c r="C9" s="2" t="inlineStr">
        <is>
          <t>08</t>
        </is>
      </c>
      <c r="D9" s="2" t="n">
        <v>86</v>
      </c>
      <c r="E9" s="2" t="inlineStr">
        <is>
          <t>Silver</t>
        </is>
      </c>
      <c r="F9" s="2" t="inlineStr">
        <is>
          <t>Agriculture</t>
        </is>
      </c>
      <c r="G9" s="2" t="inlineStr">
        <is>
          <t>Vietnam</t>
        </is>
      </c>
      <c r="H9" s="2" t="inlineStr"/>
      <c r="I9" s="2" t="inlineStr">
        <is>
          <t>Global Science Journey</t>
        </is>
      </c>
      <c r="J9" s="2" t="inlineStr">
        <is>
          <t>LycheeScan: AI-Powered Lychee Ripeness &amp; Quality Grading</t>
        </is>
      </c>
      <c r="K9" s="2" t="n">
        <v>3</v>
      </c>
      <c r="L9" s="2" t="inlineStr">
        <is>
          <t>Vuong Quang Nghi, Dang Quang Vinh, Doan Quang Huy</t>
        </is>
      </c>
      <c r="M9" s="2" t="inlineStr">
        <is>
          <t>Paid</t>
        </is>
      </c>
      <c r="N9" s="2" t="inlineStr">
        <is>
          <t>Registered by a teacher account (Binh Vu Ngan).</t>
        </is>
      </c>
      <c r="O9" s="2" t="inlineStr"/>
    </row>
    <row r="10">
      <c r="A10" s="2" t="n">
        <v>9</v>
      </c>
      <c r="B10" s="2" t="inlineStr">
        <is>
          <t>Online (database)</t>
        </is>
      </c>
      <c r="C10" s="2" t="inlineStr">
        <is>
          <t>09</t>
        </is>
      </c>
      <c r="D10" s="2" t="n">
        <v>86</v>
      </c>
      <c r="E10" s="2" t="inlineStr">
        <is>
          <t>Silver</t>
        </is>
      </c>
      <c r="F10" s="2" t="inlineStr">
        <is>
          <t>Healthcare</t>
        </is>
      </c>
      <c r="G10" s="2" t="inlineStr">
        <is>
          <t>Vietnam</t>
        </is>
      </c>
      <c r="H10" s="2" t="inlineStr"/>
      <c r="I10" s="2" t="inlineStr">
        <is>
          <t>Vinschool Central Park</t>
        </is>
      </c>
      <c r="J10" s="2" t="inlineStr">
        <is>
          <t>BrailleGuard AI: Explainable Braille Quality Control for Medicine Packaging</t>
        </is>
      </c>
      <c r="K10" s="2" t="n">
        <v>3</v>
      </c>
      <c r="L10" s="2" t="inlineStr">
        <is>
          <t>Truong Quang Tung, Tran Tien Giang Nam, Nguyen Mau Dung</t>
        </is>
      </c>
      <c r="M10" s="2" t="inlineStr">
        <is>
          <t>Paid</t>
        </is>
      </c>
      <c r="N10" s="2" t="inlineStr"/>
      <c r="O10" s="2" t="inlineStr"/>
    </row>
    <row r="11">
      <c r="A11" s="2" t="n">
        <v>10</v>
      </c>
      <c r="B11" s="2" t="inlineStr">
        <is>
          <t>Online (database)</t>
        </is>
      </c>
      <c r="C11" s="2" t="inlineStr">
        <is>
          <t>10</t>
        </is>
      </c>
      <c r="D11" s="2" t="n">
        <v>85</v>
      </c>
      <c r="E11" s="2" t="inlineStr">
        <is>
          <t>Silver</t>
        </is>
      </c>
      <c r="F11" s="2" t="inlineStr">
        <is>
          <t>Social Good</t>
        </is>
      </c>
      <c r="G11" s="2" t="inlineStr">
        <is>
          <t>Korea</t>
        </is>
      </c>
      <c r="H11" s="2" t="inlineStr"/>
      <c r="I11" s="2" t="inlineStr">
        <is>
          <t>Seoul Scholars International, Daechi Campus</t>
        </is>
      </c>
      <c r="J11" s="2" t="inlineStr">
        <is>
          <t>Adaptive Bias Span: A New Method to Decide the Range of Revision in AI's Biased Response</t>
        </is>
      </c>
      <c r="K11" s="2" t="n">
        <v>1</v>
      </c>
      <c r="L11" s="2" t="inlineStr">
        <is>
          <t>Gunwoo Ku</t>
        </is>
      </c>
      <c r="M11" s="2" t="inlineStr">
        <is>
          <t>Paid</t>
        </is>
      </c>
      <c r="N11" s="2" t="inlineStr"/>
      <c r="O11" s="2" t="inlineStr"/>
    </row>
    <row r="12">
      <c r="A12" s="2" t="n">
        <v>11</v>
      </c>
      <c r="B12" s="2" t="inlineStr">
        <is>
          <t>Online (database)</t>
        </is>
      </c>
      <c r="C12" s="2" t="inlineStr">
        <is>
          <t>11</t>
        </is>
      </c>
      <c r="D12" s="2" t="n">
        <v>83</v>
      </c>
      <c r="E12" s="2" t="inlineStr">
        <is>
          <t>Silver</t>
        </is>
      </c>
      <c r="F12" s="2" t="inlineStr">
        <is>
          <t>Healthcare</t>
        </is>
      </c>
      <c r="G12" s="2" t="inlineStr">
        <is>
          <t>Vietnam</t>
        </is>
      </c>
      <c r="H12" s="2" t="inlineStr"/>
      <c r="I12" s="2" t="inlineStr">
        <is>
          <t>HUS High School for Gifted Students / The Dewey Schools</t>
        </is>
      </c>
      <c r="J12" s="2" t="inlineStr">
        <is>
          <t>RETIVISION — Diabetic Retinopathy Screening</t>
        </is>
      </c>
      <c r="K12" s="2" t="n">
        <v>2</v>
      </c>
      <c r="L12" s="2" t="inlineStr">
        <is>
          <t>Thai Minh Nguyen, Nam Anh Hoang</t>
        </is>
      </c>
      <c r="M12" s="2" t="inlineStr">
        <is>
          <t>Paid</t>
        </is>
      </c>
      <c r="N12" s="2" t="inlineStr">
        <is>
          <t>Reported 99.46% sensitivity / 0.999 AUC not independently verified.</t>
        </is>
      </c>
      <c r="O12" s="2" t="inlineStr"/>
    </row>
    <row r="13">
      <c r="A13" s="2" t="n">
        <v>12</v>
      </c>
      <c r="B13" s="2" t="inlineStr">
        <is>
          <t>BKSTAR</t>
        </is>
      </c>
      <c r="C13" s="2" t="inlineStr">
        <is>
          <t>B2</t>
        </is>
      </c>
      <c r="D13" s="2" t="n">
        <v>82</v>
      </c>
      <c r="E13" s="2" t="inlineStr">
        <is>
          <t>Silver — pending</t>
        </is>
      </c>
      <c r="F13" s="2" t="inlineStr">
        <is>
          <t>Healthcare</t>
        </is>
      </c>
      <c r="G13" s="2" t="inlineStr">
        <is>
          <t>Vietnam</t>
        </is>
      </c>
      <c r="H13" s="2" t="inlineStr"/>
      <c r="I13" s="2" t="inlineStr">
        <is>
          <t>BKSTAR Education and Technology JSC</t>
        </is>
      </c>
      <c r="J13" s="2" t="inlineStr">
        <is>
          <t>Application of Machine Learning Algorithms to Identify the Effects of Temperature and pH on Cellulase Activity in Green Pharmaceutical Production</t>
        </is>
      </c>
      <c r="K13" s="2" t="n">
        <v>6</v>
      </c>
      <c r="L13" s="2" t="inlineStr">
        <is>
          <t>Le Dieu Minh, Vu Quang Hai, Vo Duc Hoang, Ton Duc Minh, Bui Quoc Anh, Phan Nguyen Nhat Quynh</t>
        </is>
      </c>
      <c r="M13" s="2" t="inlineStr">
        <is>
          <t>Unbilled</t>
        </is>
      </c>
      <c r="N13" s="2" t="inlineStr">
        <is>
          <t>Strongest of the offline entries. Two-tier AI: EpHod/Seq2Topt sequence models feeding an ANN-GA process optimiser. No experimental validation yet; the 70% time / 25-45% yield figures are predictions stated as fact in Marketability.</t>
        </is>
      </c>
      <c r="O13" s="2" t="inlineStr">
        <is>
          <t>Two categories ticked (Healthcare + Environment); 6 members vs cap of 5; no fee record</t>
        </is>
      </c>
    </row>
    <row r="14">
      <c r="A14" s="2" t="n">
        <v>13</v>
      </c>
      <c r="B14" s="2" t="inlineStr">
        <is>
          <t>Online (database)</t>
        </is>
      </c>
      <c r="C14" s="2" t="inlineStr">
        <is>
          <t>12</t>
        </is>
      </c>
      <c r="D14" s="2" t="n">
        <v>81</v>
      </c>
      <c r="E14" s="2" t="inlineStr">
        <is>
          <t>Silver</t>
        </is>
      </c>
      <c r="F14" s="2" t="inlineStr">
        <is>
          <t>Environment</t>
        </is>
      </c>
      <c r="G14" s="2" t="inlineStr">
        <is>
          <t>Malaysia</t>
        </is>
      </c>
      <c r="H14" s="2" t="inlineStr"/>
      <c r="I14" s="2" t="inlineStr">
        <is>
          <t>SMJK Katholik, Petaling Jaya</t>
        </is>
      </c>
      <c r="J14" s="2" t="inlineStr">
        <is>
          <t>FLOOD WATCH</t>
        </is>
      </c>
      <c r="K14" s="2" t="n">
        <v>5</v>
      </c>
      <c r="L14" s="2" t="inlineStr">
        <is>
          <t>Go Yee Xing, Choo Ern Xhe, Choong Xin Xuan, Lai Yee Hung, Tiew Jia Yu</t>
        </is>
      </c>
      <c r="M14" s="2" t="inlineStr">
        <is>
          <t>Paid</t>
        </is>
      </c>
      <c r="N14" s="2" t="inlineStr"/>
      <c r="O14" s="2" t="inlineStr"/>
    </row>
    <row r="15">
      <c r="A15" s="2" t="n">
        <v>14</v>
      </c>
      <c r="B15" s="2" t="inlineStr">
        <is>
          <t>Online (database)</t>
        </is>
      </c>
      <c r="C15" s="2" t="inlineStr">
        <is>
          <t>13</t>
        </is>
      </c>
      <c r="D15" s="2" t="n">
        <v>81</v>
      </c>
      <c r="E15" s="2" t="inlineStr">
        <is>
          <t>Silver</t>
        </is>
      </c>
      <c r="F15" s="2" t="inlineStr">
        <is>
          <t>Environment</t>
        </is>
      </c>
      <c r="G15" s="2" t="inlineStr">
        <is>
          <t>Other</t>
        </is>
      </c>
      <c r="H15" s="2" t="inlineStr">
        <is>
          <t>Iran (from school — unconfirmed)</t>
        </is>
      </c>
      <c r="I15" s="2" t="inlineStr">
        <is>
          <t>University of Tehran</t>
        </is>
      </c>
      <c r="J15" s="2" t="inlineStr">
        <is>
          <t>AI-Powered Portable Intelligence for Real-Time Hydroclimate &amp; Pollution Monitoring</t>
        </is>
      </c>
      <c r="K15" s="2" t="n">
        <v>7</v>
      </c>
      <c r="L15" s="2" t="inlineStr">
        <is>
          <t>Aryan Salvati, Himan Shahabi, Ali Salajegheh, Ataollah Shirzadi, Alireza Moghaddam Nia, Ali Akbar Nazari Samani, Hadi Hashemi</t>
        </is>
      </c>
      <c r="M15" s="2" t="inlineStr">
        <is>
          <t>Unpaid</t>
        </is>
      </c>
      <c r="N15" s="2" t="inlineStr">
        <is>
          <t>ELIGIBILITY: 7 authors (rules cap teams at 5) and the co-authors appear to be faculty.</t>
        </is>
      </c>
      <c r="O15" s="2" t="inlineStr"/>
    </row>
    <row r="16">
      <c r="A16" s="2" t="n">
        <v>15</v>
      </c>
      <c r="B16" s="2" t="inlineStr">
        <is>
          <t>Online (database)</t>
        </is>
      </c>
      <c r="C16" s="2" t="inlineStr">
        <is>
          <t>14</t>
        </is>
      </c>
      <c r="D16" s="2" t="n">
        <v>81</v>
      </c>
      <c r="E16" s="2" t="inlineStr">
        <is>
          <t>Silver</t>
        </is>
      </c>
      <c r="F16" s="2" t="inlineStr">
        <is>
          <t>Other</t>
        </is>
      </c>
      <c r="G16" s="2" t="inlineStr">
        <is>
          <t>Other</t>
        </is>
      </c>
      <c r="H16" s="2" t="inlineStr">
        <is>
          <t>Egypt (from school — unconfirmed)</t>
        </is>
      </c>
      <c r="I16" s="2" t="inlineStr">
        <is>
          <t>Ismailia STEM High School</t>
        </is>
      </c>
      <c r="J16" s="2" t="inlineStr">
        <is>
          <t>Qattrah: AI &amp; Satellite-Powered Smart Irrigation Platform</t>
        </is>
      </c>
      <c r="K16" s="2" t="n">
        <v>1</v>
      </c>
      <c r="L16" s="2" t="inlineStr">
        <is>
          <t>Tervina Sameh Fouad</t>
        </is>
      </c>
      <c r="M16" s="2" t="inlineStr">
        <is>
          <t>Unpaid</t>
        </is>
      </c>
      <c r="N16" s="2" t="inlineStr"/>
      <c r="O16" s="2" t="inlineStr"/>
    </row>
    <row r="17">
      <c r="A17" s="2" t="n">
        <v>16</v>
      </c>
      <c r="B17" s="2" t="inlineStr">
        <is>
          <t>Online (database)</t>
        </is>
      </c>
      <c r="C17" s="2" t="inlineStr">
        <is>
          <t>15</t>
        </is>
      </c>
      <c r="D17" s="2" t="n">
        <v>80</v>
      </c>
      <c r="E17" s="2" t="inlineStr">
        <is>
          <t>Silver</t>
        </is>
      </c>
      <c r="F17" s="2" t="inlineStr">
        <is>
          <t>Healthcare</t>
        </is>
      </c>
      <c r="G17" s="2" t="inlineStr">
        <is>
          <t>(not registered)</t>
        </is>
      </c>
      <c r="H17" s="2" t="inlineStr">
        <is>
          <t>Romania (from email domain — unconfirmed)</t>
        </is>
      </c>
      <c r="I17" s="2" t="inlineStr">
        <is>
          <t>UMF Carol Davila, Bucharest</t>
        </is>
      </c>
      <c r="J17" s="2" t="inlineStr">
        <is>
          <t>NeoGuardian AI</t>
        </is>
      </c>
      <c r="K17" s="2" t="n">
        <v>1</v>
      </c>
      <c r="L17" s="2" t="inlineStr">
        <is>
          <t>Mohammad Ali Mirzaei Nanaji</t>
        </is>
      </c>
      <c r="M17" s="2" t="inlineStr">
        <is>
          <t>Paid</t>
        </is>
      </c>
      <c r="N17" s="2" t="inlineStr">
        <is>
          <t>No registration row. Possible duplicate payment — two submissions from this address.</t>
        </is>
      </c>
      <c r="O17" s="2" t="inlineStr"/>
    </row>
    <row r="18">
      <c r="A18" s="2" t="n">
        <v>17</v>
      </c>
      <c r="B18" s="2" t="inlineStr">
        <is>
          <t>Online (database)</t>
        </is>
      </c>
      <c r="C18" s="2" t="inlineStr">
        <is>
          <t>16</t>
        </is>
      </c>
      <c r="D18" s="2" t="n">
        <v>80</v>
      </c>
      <c r="E18" s="2" t="inlineStr">
        <is>
          <t>Silver</t>
        </is>
      </c>
      <c r="F18" s="2" t="inlineStr">
        <is>
          <t>Education</t>
        </is>
      </c>
      <c r="G18" s="2" t="inlineStr">
        <is>
          <t>Other</t>
        </is>
      </c>
      <c r="H18" s="2" t="inlineStr">
        <is>
          <t>Taiwan (from school — unconfirmed)</t>
        </is>
      </c>
      <c r="I18" s="2" t="inlineStr">
        <is>
          <t>Taipei Fuhsing Private School</t>
        </is>
      </c>
      <c r="J18" s="2" t="inlineStr">
        <is>
          <t>PreLude AI — Where Your Music Journal Begins</t>
        </is>
      </c>
      <c r="K18" s="2" t="n">
        <v>1</v>
      </c>
      <c r="L18" s="2" t="inlineStr">
        <is>
          <t>Marissa (Mu-Jung) Lu</t>
        </is>
      </c>
      <c r="M18" s="2" t="inlineStr">
        <is>
          <t>Unpaid</t>
        </is>
      </c>
      <c r="N18" s="2" t="inlineStr"/>
      <c r="O18" s="2" t="inlineStr"/>
    </row>
    <row r="19">
      <c r="A19" s="2" t="n">
        <v>18</v>
      </c>
      <c r="B19" s="2" t="inlineStr">
        <is>
          <t>Online (database)</t>
        </is>
      </c>
      <c r="C19" s="2" t="inlineStr">
        <is>
          <t>17</t>
        </is>
      </c>
      <c r="D19" s="2" t="n">
        <v>78</v>
      </c>
      <c r="E19" s="2" t="inlineStr">
        <is>
          <t>Bronze</t>
        </is>
      </c>
      <c r="F19" s="2" t="inlineStr">
        <is>
          <t>Environment</t>
        </is>
      </c>
      <c r="G19" s="2" t="inlineStr">
        <is>
          <t>Indonesia</t>
        </is>
      </c>
      <c r="H19" s="2" t="inlineStr"/>
      <c r="I19" s="2" t="inlineStr">
        <is>
          <t>Diponegoro University</t>
        </is>
      </c>
      <c r="J19" s="2" t="inlineStr">
        <is>
          <t>PlasticEye: AI Satellite Early Warning System for Ocean Plastic Pollution</t>
        </is>
      </c>
      <c r="K19" s="2" t="n">
        <v>3</v>
      </c>
      <c r="L19" s="2" t="inlineStr">
        <is>
          <t>Callysta Naura Aqilla Zafarany, Aziz Qomarul Firdaus, Octaviana Galuh Pratiwi</t>
        </is>
      </c>
      <c r="M19" s="2" t="inlineStr">
        <is>
          <t>Unpaid</t>
        </is>
      </c>
      <c r="N19" s="2" t="inlineStr"/>
      <c r="O19" s="2" t="inlineStr"/>
    </row>
    <row r="20">
      <c r="A20" s="2" t="n">
        <v>19</v>
      </c>
      <c r="B20" s="2" t="inlineStr">
        <is>
          <t>Online (database)</t>
        </is>
      </c>
      <c r="C20" s="2" t="inlineStr">
        <is>
          <t>18</t>
        </is>
      </c>
      <c r="D20" s="2" t="n">
        <v>78</v>
      </c>
      <c r="E20" s="2" t="inlineStr">
        <is>
          <t>Bronze</t>
        </is>
      </c>
      <c r="F20" s="2" t="inlineStr">
        <is>
          <t>Healthcare</t>
        </is>
      </c>
      <c r="G20" s="2" t="inlineStr">
        <is>
          <t>Indonesia</t>
        </is>
      </c>
      <c r="H20" s="2" t="inlineStr"/>
      <c r="I20" s="2" t="inlineStr">
        <is>
          <t>SMPN 1 Kedungpring</t>
        </is>
      </c>
      <c r="J20" s="2" t="inlineStr">
        <is>
          <t>LukaLens by LukaHeal: AI-Powered Early Wound Risk Screening</t>
        </is>
      </c>
      <c r="K20" s="2" t="n">
        <v>3</v>
      </c>
      <c r="L20" s="2" t="inlineStr">
        <is>
          <t>Callysta Naura Aqilla Zafarany, Aziz Qomarul Firdaus, Octaviana Galuh Pratiwi</t>
        </is>
      </c>
      <c r="M20" s="2" t="inlineStr">
        <is>
          <t>Unpaid</t>
        </is>
      </c>
      <c r="N20" s="2" t="inlineStr">
        <is>
          <t>Same three students as rank 17 — one team, two projects.</t>
        </is>
      </c>
      <c r="O20" s="2" t="inlineStr"/>
    </row>
    <row r="21">
      <c r="A21" s="2" t="n">
        <v>20</v>
      </c>
      <c r="B21" s="2" t="inlineStr">
        <is>
          <t>BKSTAR</t>
        </is>
      </c>
      <c r="C21" s="2" t="inlineStr">
        <is>
          <t>B1</t>
        </is>
      </c>
      <c r="D21" s="2" t="n">
        <v>77</v>
      </c>
      <c r="E21" s="2" t="inlineStr">
        <is>
          <t>Bronze — pending</t>
        </is>
      </c>
      <c r="F21" s="2" t="inlineStr">
        <is>
          <t>Healthcare</t>
        </is>
      </c>
      <c r="G21" s="2" t="inlineStr">
        <is>
          <t>Vietnam</t>
        </is>
      </c>
      <c r="H21" s="2" t="inlineStr"/>
      <c r="I21" s="2" t="inlineStr">
        <is>
          <t>BKSTAR Education and Technology JSC</t>
        </is>
      </c>
      <c r="J21" s="2" t="inlineStr">
        <is>
          <t>MediCare Hub - All-in-One Smart Home Healthcare Ecosystem</t>
        </is>
      </c>
      <c r="K21" s="2" t="n">
        <v>6</v>
      </c>
      <c r="L21" s="2" t="inlineStr">
        <is>
          <t>Nguyen Viet Anh, Ta Quang Minh, Vu Ngoc Linh, Tran Viet Anh, Vu Sy Hieu Nghia, Lam An Binh</t>
        </is>
      </c>
      <c r="M21" s="2" t="inlineStr">
        <is>
          <t>Unbilled</t>
        </is>
      </c>
      <c r="N21" s="2" t="inlineStr">
        <is>
          <t>Most hardware-literate entry of the batch (MAX30102, MLX90614, IR retrieval sensor). SAFETY: auto-unlocking emergency medication on a consumer-grade vitals reading should alert a human instead of acting.</t>
        </is>
      </c>
      <c r="O21" s="2" t="inlineStr">
        <is>
          <t>6 members vs cap of 5; Lam An Binh also on B4; no fee record</t>
        </is>
      </c>
    </row>
    <row r="22">
      <c r="A22" s="2" t="n">
        <v>21</v>
      </c>
      <c r="B22" s="2" t="inlineStr">
        <is>
          <t>Online (database)</t>
        </is>
      </c>
      <c r="C22" s="2" t="inlineStr">
        <is>
          <t>19</t>
        </is>
      </c>
      <c r="D22" s="2" t="n">
        <v>76</v>
      </c>
      <c r="E22" s="2" t="inlineStr">
        <is>
          <t>Bronze</t>
        </is>
      </c>
      <c r="F22" s="2" t="inlineStr">
        <is>
          <t>Environment</t>
        </is>
      </c>
      <c r="G22" s="2" t="inlineStr">
        <is>
          <t>Indonesia</t>
        </is>
      </c>
      <c r="H22" s="2" t="inlineStr"/>
      <c r="I22" s="2" t="inlineStr">
        <is>
          <t>Republic of Indonesia Defense University</t>
        </is>
      </c>
      <c r="J22" s="2" t="inlineStr">
        <is>
          <t>AI SMART TREE</t>
        </is>
      </c>
      <c r="K22" s="2" t="n">
        <v>1</v>
      </c>
      <c r="L22" s="2" t="inlineStr">
        <is>
          <t>Ribka Adelina Lubis</t>
        </is>
      </c>
      <c r="M22" s="2" t="inlineStr">
        <is>
          <t>Unpaid</t>
        </is>
      </c>
      <c r="N22" s="2" t="inlineStr"/>
      <c r="O22" s="2" t="inlineStr"/>
    </row>
    <row r="23">
      <c r="A23" s="2" t="n">
        <v>22</v>
      </c>
      <c r="B23" s="2" t="inlineStr">
        <is>
          <t>Online (database)</t>
        </is>
      </c>
      <c r="C23" s="2" t="inlineStr">
        <is>
          <t>20</t>
        </is>
      </c>
      <c r="D23" s="2" t="n">
        <v>76</v>
      </c>
      <c r="E23" s="2" t="inlineStr">
        <is>
          <t>Bronze</t>
        </is>
      </c>
      <c r="F23" s="2" t="inlineStr">
        <is>
          <t>Environment</t>
        </is>
      </c>
      <c r="G23" s="2" t="inlineStr">
        <is>
          <t>Vietnam</t>
        </is>
      </c>
      <c r="H23" s="2" t="inlineStr"/>
      <c r="I23" s="2" t="inlineStr">
        <is>
          <t>Thuong Tin High School</t>
        </is>
      </c>
      <c r="J23" s="2" t="inlineStr">
        <is>
          <t>ReGrow AI: Adaptive Swarm System for Autonomous Mangrove Restoration</t>
        </is>
      </c>
      <c r="K23" s="2" t="n">
        <v>1</v>
      </c>
      <c r="L23" s="2" t="inlineStr">
        <is>
          <t>To Thi Ngoc Mai</t>
        </is>
      </c>
      <c r="M23" s="2" t="inlineStr">
        <is>
          <t>Unpaid</t>
        </is>
      </c>
      <c r="N23" s="2" t="inlineStr"/>
      <c r="O23" s="2" t="inlineStr"/>
    </row>
    <row r="24">
      <c r="A24" s="2" t="n">
        <v>23</v>
      </c>
      <c r="B24" s="2" t="inlineStr">
        <is>
          <t>Online (database)</t>
        </is>
      </c>
      <c r="C24" s="2" t="inlineStr">
        <is>
          <t>21</t>
        </is>
      </c>
      <c r="D24" s="2" t="n">
        <v>76</v>
      </c>
      <c r="E24" s="2" t="inlineStr">
        <is>
          <t>Bronze</t>
        </is>
      </c>
      <c r="F24" s="2" t="inlineStr">
        <is>
          <t>Education</t>
        </is>
      </c>
      <c r="G24" s="2" t="inlineStr">
        <is>
          <t>Other</t>
        </is>
      </c>
      <c r="H24" s="2" t="inlineStr">
        <is>
          <t>Azerbaijan (from school — unconfirmed)</t>
        </is>
      </c>
      <c r="I24" s="2" t="inlineStr">
        <is>
          <t>Landau School</t>
        </is>
      </c>
      <c r="J24" s="2" t="inlineStr">
        <is>
          <t>MindForge</t>
        </is>
      </c>
      <c r="K24" s="2" t="n">
        <v>1</v>
      </c>
      <c r="L24" s="2" t="inlineStr">
        <is>
          <t>Maleyka Jamalova</t>
        </is>
      </c>
      <c r="M24" s="2" t="inlineStr">
        <is>
          <t>Unpaid</t>
        </is>
      </c>
      <c r="N24" s="2" t="inlineStr"/>
      <c r="O24" s="2" t="inlineStr"/>
    </row>
    <row r="25">
      <c r="A25" s="2" t="n">
        <v>24</v>
      </c>
      <c r="B25" s="2" t="inlineStr">
        <is>
          <t>BKSTAR</t>
        </is>
      </c>
      <c r="C25" s="2" t="inlineStr">
        <is>
          <t>B5</t>
        </is>
      </c>
      <c r="D25" s="2" t="n">
        <v>75</v>
      </c>
      <c r="E25" s="2" t="inlineStr">
        <is>
          <t>Bronze — pending</t>
        </is>
      </c>
      <c r="F25" s="2" t="inlineStr">
        <is>
          <t>Environment</t>
        </is>
      </c>
      <c r="G25" s="2" t="inlineStr">
        <is>
          <t>Vietnam</t>
        </is>
      </c>
      <c r="H25" s="2" t="inlineStr"/>
      <c r="I25" s="2" t="inlineStr">
        <is>
          <t>BKSTAR Education and Technology JSC</t>
        </is>
      </c>
      <c r="J25" s="2" t="inlineStr">
        <is>
          <t>ROV for Aquatic Integrity</t>
        </is>
      </c>
      <c r="K25" s="2" t="n">
        <v>7</v>
      </c>
      <c r="L25" s="2" t="inlineStr">
        <is>
          <t>Tran An Phu, Uong Nhat Phong, Duong Tuan Dung, Nguyen Bach Duong, Bui Thai An, Vo Minh Khoi, Pham Chu Minh Quang</t>
        </is>
      </c>
      <c r="M25" s="2" t="inlineStr">
        <is>
          <t>Unbilled</t>
        </is>
      </c>
      <c r="N25" s="2" t="inlineStr">
        <is>
          <t>Real built hardware (waterproofing, resin cable entries, staged wet tests). VisionConfirm - a module that shows confidence and asks a human before acting - is the best design idea in the batch. The three AI modules are not yet trained.</t>
        </is>
      </c>
      <c r="O25" s="2" t="inlineStr">
        <is>
          <t>7 members vs cap of 5; contradictory registration boxes; no fee record</t>
        </is>
      </c>
    </row>
    <row r="26">
      <c r="A26" s="2" t="n">
        <v>25</v>
      </c>
      <c r="B26" s="2" t="inlineStr">
        <is>
          <t>Online (database)</t>
        </is>
      </c>
      <c r="C26" s="2" t="inlineStr">
        <is>
          <t>22</t>
        </is>
      </c>
      <c r="D26" s="2" t="n">
        <v>74</v>
      </c>
      <c r="E26" s="2" t="inlineStr">
        <is>
          <t>Bronze</t>
        </is>
      </c>
      <c r="F26" s="2" t="inlineStr">
        <is>
          <t>Social Good</t>
        </is>
      </c>
      <c r="G26" s="2" t="inlineStr">
        <is>
          <t>Malaysia</t>
        </is>
      </c>
      <c r="H26" s="2" t="inlineStr"/>
      <c r="I26" s="2" t="inlineStr">
        <is>
          <t>SMJK Katholik, Petaling Jaya</t>
        </is>
      </c>
      <c r="J26" s="2" t="inlineStr">
        <is>
          <t>Project Guardian Angel</t>
        </is>
      </c>
      <c r="K26" s="2" t="n">
        <v>5</v>
      </c>
      <c r="L26" s="2" t="inlineStr">
        <is>
          <t>Regene Ng Kai Xuan, Kong Si Qing, Eng Sze Hui, Lee Shu Peng, Wee Siao See</t>
        </is>
      </c>
      <c r="M26" s="2" t="inlineStr">
        <is>
          <t>Paid</t>
        </is>
      </c>
      <c r="N26" s="2" t="inlineStr"/>
      <c r="O26" s="2" t="inlineStr"/>
    </row>
    <row r="27">
      <c r="A27" s="2" t="n">
        <v>26</v>
      </c>
      <c r="B27" s="2" t="inlineStr">
        <is>
          <t>Online (database)</t>
        </is>
      </c>
      <c r="C27" s="2" t="inlineStr">
        <is>
          <t>23</t>
        </is>
      </c>
      <c r="D27" s="2" t="n">
        <v>73</v>
      </c>
      <c r="E27" s="2" t="inlineStr">
        <is>
          <t>Bronze</t>
        </is>
      </c>
      <c r="F27" s="2" t="inlineStr">
        <is>
          <t>Social Good</t>
        </is>
      </c>
      <c r="G27" s="2" t="inlineStr">
        <is>
          <t>Malaysia</t>
        </is>
      </c>
      <c r="H27" s="2" t="inlineStr"/>
      <c r="I27" s="2" t="inlineStr">
        <is>
          <t>SMJK Katholik</t>
        </is>
      </c>
      <c r="J27" s="2" t="inlineStr">
        <is>
          <t>QueueLess Malaysia: AI-Powered Government Services</t>
        </is>
      </c>
      <c r="K27" s="2" t="n">
        <v>5</v>
      </c>
      <c r="L27" s="2" t="inlineStr">
        <is>
          <t>Tan Yu Xi, Iong Xin Hui, Lim Ern Xin, Tan Yi Sun, Ng Jia Xin</t>
        </is>
      </c>
      <c r="M27" s="2" t="inlineStr">
        <is>
          <t>Paid</t>
        </is>
      </c>
      <c r="N27" s="2" t="inlineStr">
        <is>
          <t>Submission text contains an unedited AI artifact.</t>
        </is>
      </c>
      <c r="O27" s="2" t="inlineStr"/>
    </row>
    <row r="28">
      <c r="A28" s="2" t="n">
        <v>27</v>
      </c>
      <c r="B28" s="2" t="inlineStr">
        <is>
          <t>Online (database)</t>
        </is>
      </c>
      <c r="C28" s="2" t="inlineStr">
        <is>
          <t>24</t>
        </is>
      </c>
      <c r="D28" s="2" t="n">
        <v>72</v>
      </c>
      <c r="E28" s="2" t="inlineStr">
        <is>
          <t>Bronze</t>
        </is>
      </c>
      <c r="F28" s="2" t="inlineStr">
        <is>
          <t>Other</t>
        </is>
      </c>
      <c r="G28" s="2" t="inlineStr">
        <is>
          <t>Other</t>
        </is>
      </c>
      <c r="H28" s="2" t="inlineStr">
        <is>
          <t>India (from school — unconfirmed)</t>
        </is>
      </c>
      <c r="I28" s="2" t="inlineStr">
        <is>
          <t>SVM School, Palladam</t>
        </is>
      </c>
      <c r="J28" s="2" t="inlineStr">
        <is>
          <t>AI-Powered Garment Production Planning Assistant</t>
        </is>
      </c>
      <c r="K28" s="2" t="n">
        <v>2</v>
      </c>
      <c r="L28" s="2" t="inlineStr">
        <is>
          <t>Gnanaraj Anburaj, Vijayalakshmi</t>
        </is>
      </c>
      <c r="M28" s="2" t="inlineStr">
        <is>
          <t>Unpaid</t>
        </is>
      </c>
      <c r="N28" s="2" t="inlineStr">
        <is>
          <t>Registered as Teacher / School.</t>
        </is>
      </c>
      <c r="O28" s="2" t="inlineStr"/>
    </row>
    <row r="29">
      <c r="A29" s="2" t="n">
        <v>28</v>
      </c>
      <c r="B29" s="2" t="inlineStr">
        <is>
          <t>BKSTAR</t>
        </is>
      </c>
      <c r="C29" s="2" t="inlineStr">
        <is>
          <t>B4</t>
        </is>
      </c>
      <c r="D29" s="2" t="n">
        <v>72</v>
      </c>
      <c r="E29" s="2" t="inlineStr">
        <is>
          <t>Bronze — pending</t>
        </is>
      </c>
      <c r="F29" s="2" t="inlineStr">
        <is>
          <t>Healthcare</t>
        </is>
      </c>
      <c r="G29" s="2" t="inlineStr">
        <is>
          <t>Vietnam</t>
        </is>
      </c>
      <c r="H29" s="2" t="inlineStr"/>
      <c r="I29" s="2" t="inlineStr">
        <is>
          <t>BKSTAR Education and Technology JSC</t>
        </is>
      </c>
      <c r="J29" s="2" t="inlineStr">
        <is>
          <t>SoundGuard - AI Smart Glasses That Let Deaf People See Danger and Feel Direction</t>
        </is>
      </c>
      <c r="K29" s="2" t="n">
        <v>7</v>
      </c>
      <c r="L29" s="2" t="inlineStr">
        <is>
          <t>Nguyen Viet Trung, Lam An Binh, Trinh Quang Minh, Vo Nguyen Phat, Nguyen Tuan Khanh, Do Ngoc Gia Bao, Nguyen Nhat Minh</t>
        </is>
      </c>
      <c r="M29" s="2" t="inlineStr">
        <is>
          <t>Unbilled</t>
        </is>
      </c>
      <c r="N29" s="2" t="inlineStr">
        <is>
          <t>Honest about build state - directional alerts, ESP32-S3 integration and offline processing declared unfinished. US$45 BOM. No accuracy, latency or false-alarm figures anywhere; the title sells the unbuilt half.</t>
        </is>
      </c>
      <c r="O29" s="2" t="inlineStr">
        <is>
          <t>Two categories ticked (Healthcare + Social Good); 7 members vs cap of 5; Lam An Binh also on B1; no fee record</t>
        </is>
      </c>
    </row>
    <row r="30">
      <c r="A30" s="2" t="n">
        <v>29</v>
      </c>
      <c r="B30" s="2" t="inlineStr">
        <is>
          <t>Online (database)</t>
        </is>
      </c>
      <c r="C30" s="2" t="inlineStr">
        <is>
          <t>25</t>
        </is>
      </c>
      <c r="D30" s="2" t="n">
        <v>71</v>
      </c>
      <c r="E30" s="2" t="inlineStr">
        <is>
          <t>Bronze</t>
        </is>
      </c>
      <c r="F30" s="2" t="inlineStr">
        <is>
          <t>Social Good</t>
        </is>
      </c>
      <c r="G30" s="2" t="inlineStr">
        <is>
          <t>Other</t>
        </is>
      </c>
      <c r="H30" s="2" t="inlineStr">
        <is>
          <t>India (from school — unconfirmed)</t>
        </is>
      </c>
      <c r="I30" s="2" t="inlineStr">
        <is>
          <t>New Vibrant PU College</t>
        </is>
      </c>
      <c r="J30" s="2" t="inlineStr">
        <is>
          <t>AI-Enabled Adaptive Communication Resilience System</t>
        </is>
      </c>
      <c r="K30" s="2" t="n">
        <v>1</v>
      </c>
      <c r="L30" s="2" t="inlineStr">
        <is>
          <t>Nishanth S</t>
        </is>
      </c>
      <c r="M30" s="2" t="inlineStr">
        <is>
          <t>Unpaid</t>
        </is>
      </c>
      <c r="N30" s="2" t="inlineStr">
        <is>
          <t>No slides submitted.</t>
        </is>
      </c>
      <c r="O30" s="2" t="inlineStr"/>
    </row>
    <row r="31">
      <c r="A31" s="2" t="n">
        <v>30</v>
      </c>
      <c r="B31" s="2" t="inlineStr">
        <is>
          <t>Online (database)</t>
        </is>
      </c>
      <c r="C31" s="2" t="inlineStr">
        <is>
          <t>26</t>
        </is>
      </c>
      <c r="D31" s="2" t="n">
        <v>71</v>
      </c>
      <c r="E31" s="2" t="inlineStr">
        <is>
          <t>Bronze</t>
        </is>
      </c>
      <c r="F31" s="2" t="inlineStr">
        <is>
          <t>Healthcare</t>
        </is>
      </c>
      <c r="G31" s="2" t="inlineStr">
        <is>
          <t>Other</t>
        </is>
      </c>
      <c r="H31" s="2" t="inlineStr">
        <is>
          <t>Egypt (from school/email domain — unconfirmed)</t>
        </is>
      </c>
      <c r="I31" s="2" t="inlineStr">
        <is>
          <t>Sharkya STEM School</t>
        </is>
      </c>
      <c r="J31" s="2" t="inlineStr">
        <is>
          <t>Dynamic Cardiac Digital Twin for Real-Time AR Surgical Navigation</t>
        </is>
      </c>
      <c r="K31" s="2" t="n">
        <v>2</v>
      </c>
      <c r="L31" s="2" t="inlineStr">
        <is>
          <t>Hana Ahmed, Rosol Mohammed</t>
        </is>
      </c>
      <c r="M31" s="2" t="inlineStr">
        <is>
          <t>Unpaid</t>
        </is>
      </c>
      <c r="N31" s="2" t="inlineStr">
        <is>
          <t>INCOMPLETE: video link 404s, no slides.</t>
        </is>
      </c>
      <c r="O31" s="2" t="inlineStr"/>
    </row>
    <row r="32">
      <c r="A32" s="2" t="n">
        <v>31</v>
      </c>
      <c r="B32" s="2" t="inlineStr">
        <is>
          <t>Online (database)</t>
        </is>
      </c>
      <c r="C32" s="2" t="inlineStr">
        <is>
          <t>27</t>
        </is>
      </c>
      <c r="D32" s="2" t="n">
        <v>70</v>
      </c>
      <c r="E32" s="2" t="inlineStr">
        <is>
          <t>Bronze</t>
        </is>
      </c>
      <c r="F32" s="2" t="inlineStr">
        <is>
          <t>Education</t>
        </is>
      </c>
      <c r="G32" s="2" t="inlineStr">
        <is>
          <t>(not registered)</t>
        </is>
      </c>
      <c r="H32" s="2" t="inlineStr">
        <is>
          <t>Vietnam (from email domain — unconfirmed)</t>
        </is>
      </c>
      <c r="I32" s="2" t="inlineStr">
        <is>
          <t>Hanoi National University of Education</t>
        </is>
      </c>
      <c r="J32" s="2" t="inlineStr">
        <is>
          <t>SAFEDRIVE+: Blood Alcohol Concentration Measurement and Monitoring System</t>
        </is>
      </c>
      <c r="K32" s="2" t="n">
        <v>4</v>
      </c>
      <c r="L32" s="2" t="inlineStr">
        <is>
          <t>Nguyen Tri Viet, Nguyen Quang Khe, Nguyen Viet Bach, Nguyen Thuan Quoc Trung</t>
        </is>
      </c>
      <c r="M32" s="2" t="inlineStr">
        <is>
          <t>Paid</t>
        </is>
      </c>
      <c r="N32" s="2" t="inlineStr">
        <is>
          <t>LATE: ~19h past the 08-30 23:59 PT deadline. Category filed as Education but the project is Transportation/Safety.</t>
        </is>
      </c>
      <c r="O32" s="2" t="inlineStr"/>
    </row>
    <row r="33">
      <c r="A33" s="2" t="n">
        <v>32</v>
      </c>
      <c r="B33" s="2" t="inlineStr">
        <is>
          <t>Online (database)</t>
        </is>
      </c>
      <c r="C33" s="2" t="inlineStr">
        <is>
          <t>28</t>
        </is>
      </c>
      <c r="D33" s="2" t="n">
        <v>70</v>
      </c>
      <c r="E33" s="2" t="inlineStr">
        <is>
          <t>Bronze</t>
        </is>
      </c>
      <c r="F33" s="2" t="inlineStr">
        <is>
          <t>Social Good</t>
        </is>
      </c>
      <c r="G33" s="2" t="inlineStr">
        <is>
          <t>Other</t>
        </is>
      </c>
      <c r="H33" s="2" t="inlineStr">
        <is>
          <t>Algeria (from school — unconfirmed)</t>
        </is>
      </c>
      <c r="I33" s="2" t="inlineStr">
        <is>
          <t>USTHB, Algiers</t>
        </is>
      </c>
      <c r="J33" s="2" t="inlineStr">
        <is>
          <t>Sovereign AI Workforce</t>
        </is>
      </c>
      <c r="K33" s="2" t="n">
        <v>1</v>
      </c>
      <c r="L33" s="2" t="inlineStr">
        <is>
          <t>Fateh Abderrahim Boukhalfa</t>
        </is>
      </c>
      <c r="M33" s="2" t="inlineStr">
        <is>
          <t>Unpaid</t>
        </is>
      </c>
      <c r="N33" s="2" t="inlineStr"/>
      <c r="O33" s="2" t="inlineStr"/>
    </row>
    <row r="34">
      <c r="A34" s="2" t="n">
        <v>33</v>
      </c>
      <c r="B34" s="2" t="inlineStr">
        <is>
          <t>Online (database)</t>
        </is>
      </c>
      <c r="C34" s="2" t="inlineStr">
        <is>
          <t>29</t>
        </is>
      </c>
      <c r="D34" s="2" t="n">
        <v>70</v>
      </c>
      <c r="E34" s="2" t="inlineStr">
        <is>
          <t>Bronze</t>
        </is>
      </c>
      <c r="F34" s="2" t="inlineStr">
        <is>
          <t>Education</t>
        </is>
      </c>
      <c r="G34" s="2" t="inlineStr">
        <is>
          <t>Other</t>
        </is>
      </c>
      <c r="H34" s="2" t="inlineStr">
        <is>
          <t>India (from school — unconfirmed)</t>
        </is>
      </c>
      <c r="I34" s="2" t="inlineStr">
        <is>
          <t>JNCT Professional University, Bhopal</t>
        </is>
      </c>
      <c r="J34" s="2" t="inlineStr">
        <is>
          <t>HIJO — AI-Powered Immersive Skill Learning &amp; Assessment</t>
        </is>
      </c>
      <c r="K34" s="2" t="n">
        <v>1</v>
      </c>
      <c r="L34" s="2" t="inlineStr">
        <is>
          <t>Aqib Khan</t>
        </is>
      </c>
      <c r="M34" s="2" t="inlineStr">
        <is>
          <t>Unpaid</t>
        </is>
      </c>
      <c r="N34" s="2" t="inlineStr">
        <is>
          <t>INCOMPLETE: no video, no slides. Video field reads 'https://wedonthavevideodemo'.</t>
        </is>
      </c>
      <c r="O34" s="2" t="inlineStr"/>
    </row>
    <row r="35">
      <c r="A35" s="2" t="n">
        <v>34</v>
      </c>
      <c r="B35" s="2" t="inlineStr">
        <is>
          <t>VN Posters</t>
        </is>
      </c>
      <c r="C35" s="2" t="inlineStr">
        <is>
          <t>C2</t>
        </is>
      </c>
      <c r="D35" s="2" t="n">
        <v>70</v>
      </c>
      <c r="E35" s="2" t="inlineStr">
        <is>
          <t>Bronze — pending</t>
        </is>
      </c>
      <c r="F35" s="2" t="inlineStr">
        <is>
          <t>Finance</t>
        </is>
      </c>
      <c r="G35" s="2" t="inlineStr">
        <is>
          <t>Vietnam</t>
        </is>
      </c>
      <c r="H35" s="2" t="inlineStr"/>
      <c r="I35" s="2" t="inlineStr">
        <is>
          <t>Vinschool The Harmony; Foreign Language Specialized School; Vinschool Central Park; Concordia International School Hanoi</t>
        </is>
      </c>
      <c r="J35" s="2" t="inlineStr">
        <is>
          <t>AutoInsure AI</t>
        </is>
      </c>
      <c r="K35" s="2" t="n">
        <v>4</v>
      </c>
      <c r="L35" s="2" t="inlineStr">
        <is>
          <t>Vu Giang Nam, Vu Ha Bich Diep, Vo Nguyen Minh Thu, Nguyen Minh Dung</t>
        </is>
      </c>
      <c r="M35" s="2" t="inlineStr">
        <is>
          <t>Paid (offline)</t>
        </is>
      </c>
      <c r="N35" s="2" t="inlineStr">
        <is>
          <t>The only genuine machine learning in the poster batch. Gradient boosting with log-target transform, validation MAE ~1.8M VND / R2 0.96, test MAE 1.76M / R2 0.96, deployed on Streamlit. METHOD: predicts premium (a rate-table output), not risk - the question the team actually asked.</t>
        </is>
      </c>
      <c r="O35" s="2" t="inlineStr">
        <is>
          <t>No submission form; no database record</t>
        </is>
      </c>
    </row>
    <row r="36">
      <c r="A36" s="2" t="n">
        <v>35</v>
      </c>
      <c r="B36" s="2" t="inlineStr">
        <is>
          <t>VN Posters</t>
        </is>
      </c>
      <c r="C36" s="2" t="inlineStr">
        <is>
          <t>C3</t>
        </is>
      </c>
      <c r="D36" s="2" t="n">
        <v>70</v>
      </c>
      <c r="E36" s="2" t="inlineStr">
        <is>
          <t>Bronze — pending</t>
        </is>
      </c>
      <c r="F36" s="2" t="inlineStr">
        <is>
          <t>Environment</t>
        </is>
      </c>
      <c r="G36" s="2" t="inlineStr">
        <is>
          <t>Vietnam</t>
        </is>
      </c>
      <c r="H36" s="2" t="inlineStr"/>
      <c r="I36" s="2" t="inlineStr">
        <is>
          <t>Foreign Trade University; Foreign Language Specialized School; Yen Hoa High School; Le Hong Phong Gifted; Hong Bang High School</t>
        </is>
      </c>
      <c r="J36" s="2" t="inlineStr">
        <is>
          <t>Startup with a Project Using Nano-TiO2 Particles to Treat Water Pollution in Van Phuc Silk Village</t>
        </is>
      </c>
      <c r="K36" s="2" t="n">
        <v>6</v>
      </c>
      <c r="L36" s="2" t="inlineStr">
        <is>
          <t>Nguyen Linh Chi, Nguyen Bao Khanh, Le Thi Thanh Hang, Nguyen Thuy Duong, Ho Le Gia An, Hoang Dang Phuc</t>
        </is>
      </c>
      <c r="M36" s="2" t="inlineStr">
        <is>
          <t>Paid (offline)</t>
        </is>
      </c>
      <c r="N36" s="2" t="inlineStr">
        <is>
          <t>Best local specificity in the batch - a named village, a named effluent, an identified product gap, and a cartridge-replacement business model. 92.3% synthesis yield, ~7 nm, 59.1% dye removal in 2h. Filter itself not built.</t>
        </is>
      </c>
      <c r="O36" s="2" t="inlineStr">
        <is>
          <t>NO AI COMPONENT; 6 members vs cap of 5; no submission form</t>
        </is>
      </c>
    </row>
    <row r="37">
      <c r="A37" s="2" t="n">
        <v>36</v>
      </c>
      <c r="B37" s="2" t="inlineStr">
        <is>
          <t>VN Posters</t>
        </is>
      </c>
      <c r="C37" s="2" t="inlineStr">
        <is>
          <t>C6</t>
        </is>
      </c>
      <c r="D37" s="2" t="n">
        <v>70</v>
      </c>
      <c r="E37" s="2" t="inlineStr">
        <is>
          <t>Bronze — pending</t>
        </is>
      </c>
      <c r="F37" s="2" t="inlineStr">
        <is>
          <t>Environment</t>
        </is>
      </c>
      <c r="G37" s="2" t="inlineStr">
        <is>
          <t>Vietnam</t>
        </is>
      </c>
      <c r="H37" s="2" t="inlineStr"/>
      <c r="I37" s="2" t="inlineStr">
        <is>
          <t>HUS Gifted; Newton Grammar School; Le Quy Don Gifted; HNUE Gifted</t>
        </is>
      </c>
      <c r="J37" s="2" t="inlineStr">
        <is>
          <t>Development of a Triboelectric Nanogenerator for Self-Powered Portable Electronic Devices</t>
        </is>
      </c>
      <c r="K37" s="2" t="n">
        <v>5</v>
      </c>
      <c r="L37" s="2" t="inlineStr">
        <is>
          <t>Pham Xuan Son, Nguyen Minh Duc, Nguyen Vu Manh Khang, Nguyen Nhat Minh, Quan Minh Hong Anh</t>
        </is>
      </c>
      <c r="M37" s="2" t="inlineStr">
        <is>
          <t>Paid (offline)</t>
        </is>
      </c>
      <c r="N37" s="2" t="inlineStr">
        <is>
          <t>Built a working device for under US$1 and then tested a theory with it - doubling the spacer gap produced the predicted 2.00 voltage ratio, measured on a classroom multimeter. Peak 24.91 V, lit LEDs, ran a floor sensor. No power-into-load or durability data.</t>
        </is>
      </c>
      <c r="O37" s="2" t="inlineStr">
        <is>
          <t>NO AI COMPONENT; no submission form</t>
        </is>
      </c>
    </row>
    <row r="38">
      <c r="A38" s="2" t="n">
        <v>37</v>
      </c>
      <c r="B38" s="2" t="inlineStr">
        <is>
          <t>Online (database)</t>
        </is>
      </c>
      <c r="C38" s="2" t="inlineStr">
        <is>
          <t>30</t>
        </is>
      </c>
      <c r="D38" s="2" t="n">
        <v>69</v>
      </c>
      <c r="E38" s="2" t="inlineStr">
        <is>
          <t>Participation</t>
        </is>
      </c>
      <c r="F38" s="2" t="inlineStr">
        <is>
          <t>Education</t>
        </is>
      </c>
      <c r="G38" s="2" t="inlineStr">
        <is>
          <t>(not registered)</t>
        </is>
      </c>
      <c r="H38" s="2" t="inlineStr"/>
      <c r="I38" s="2" t="inlineStr">
        <is>
          <t>(not registered)</t>
        </is>
      </c>
      <c r="J38" s="2" t="inlineStr">
        <is>
          <t>Ripple.AI</t>
        </is>
      </c>
      <c r="K38" s="2" t="n">
        <v>1</v>
      </c>
      <c r="L38" s="2" t="inlineStr">
        <is>
          <t>Maria Kenya Rosari</t>
        </is>
      </c>
      <c r="M38" s="2" t="inlineStr">
        <is>
          <t>Unpaid</t>
        </is>
      </c>
      <c r="N38" s="2" t="inlineStr">
        <is>
          <t>No registration row — country and school unknown.</t>
        </is>
      </c>
      <c r="O38" s="2" t="inlineStr"/>
    </row>
    <row r="39">
      <c r="A39" s="2" t="n">
        <v>38</v>
      </c>
      <c r="B39" s="2" t="inlineStr">
        <is>
          <t>Online (database)</t>
        </is>
      </c>
      <c r="C39" s="2" t="inlineStr">
        <is>
          <t>31</t>
        </is>
      </c>
      <c r="D39" s="2" t="n">
        <v>63</v>
      </c>
      <c r="E39" s="2" t="inlineStr">
        <is>
          <t>Participation</t>
        </is>
      </c>
      <c r="F39" s="2" t="inlineStr">
        <is>
          <t>Healthcare</t>
        </is>
      </c>
      <c r="G39" s="2" t="inlineStr">
        <is>
          <t>United States</t>
        </is>
      </c>
      <c r="H39" s="2" t="inlineStr"/>
      <c r="I39" s="2" t="inlineStr">
        <is>
          <t>West Career &amp; Technical Academy</t>
        </is>
      </c>
      <c r="J39" s="2" t="inlineStr">
        <is>
          <t>DentaLens AI</t>
        </is>
      </c>
      <c r="K39" s="2" t="n">
        <v>1</v>
      </c>
      <c r="L39" s="2" t="inlineStr">
        <is>
          <t>Jayden Kim</t>
        </is>
      </c>
      <c r="M39" s="2" t="inlineStr">
        <is>
          <t>Unpaid</t>
        </is>
      </c>
      <c r="N39" s="2" t="inlineStr"/>
      <c r="O39" s="2" t="inlineStr"/>
    </row>
    <row r="40">
      <c r="A40" s="2" t="n">
        <v>39</v>
      </c>
      <c r="B40" s="2" t="inlineStr">
        <is>
          <t>VN Posters</t>
        </is>
      </c>
      <c r="C40" s="2" t="inlineStr">
        <is>
          <t>C8</t>
        </is>
      </c>
      <c r="D40" s="2" t="n">
        <v>61</v>
      </c>
      <c r="E40" s="2" t="inlineStr">
        <is>
          <t>Participation — pending</t>
        </is>
      </c>
      <c r="F40" s="2" t="inlineStr">
        <is>
          <t>Healthcare</t>
        </is>
      </c>
      <c r="G40" s="2" t="inlineStr">
        <is>
          <t>Vietnam</t>
        </is>
      </c>
      <c r="H40" s="2" t="inlineStr"/>
      <c r="I40" s="2" t="inlineStr">
        <is>
          <t>Hon Gai High School, Ha Long; UK Academy International Bilingual School, Ha Long</t>
        </is>
      </c>
      <c r="J40" s="2" t="inlineStr">
        <is>
          <t>Fabrication of Fe2O3 Magnetic Nanoparticles for Localized Hyperthermia in Cancer Treatment</t>
        </is>
      </c>
      <c r="K40" s="2" t="n">
        <v>2</v>
      </c>
      <c r="L40" s="2" t="inlineStr">
        <is>
          <t>Mac Duc Tung, Tran Phuoc Hung</t>
        </is>
      </c>
      <c r="M40" s="2" t="inlineStr">
        <is>
          <t>Paid (offline)</t>
        </is>
      </c>
      <c r="N40" s="2" t="inlineStr">
        <is>
          <t>Two students, and the only functional test in the nanoparticle group: 45 C in 6 minutes under 55 Oe, inside the therapeutic hyperthermia window. No cell work; heating test conditions underspecified.</t>
        </is>
      </c>
      <c r="O40" s="2" t="inlineStr">
        <is>
          <t>NO AI COMPONENT; no submission form</t>
        </is>
      </c>
    </row>
    <row r="41">
      <c r="A41" s="2" t="n">
        <v>40</v>
      </c>
      <c r="B41" s="2" t="inlineStr">
        <is>
          <t>Online (database)</t>
        </is>
      </c>
      <c r="C41" s="2" t="inlineStr">
        <is>
          <t>32</t>
        </is>
      </c>
      <c r="D41" s="2" t="n">
        <v>59</v>
      </c>
      <c r="E41" s="2" t="inlineStr">
        <is>
          <t>Participation</t>
        </is>
      </c>
      <c r="F41" s="2" t="inlineStr">
        <is>
          <t>Other</t>
        </is>
      </c>
      <c r="G41" s="2" t="inlineStr">
        <is>
          <t>Other</t>
        </is>
      </c>
      <c r="H41" s="2" t="inlineStr">
        <is>
          <t>India (from school — unconfirmed)</t>
        </is>
      </c>
      <c r="I41" s="2" t="inlineStr">
        <is>
          <t>SRGS Ludhiana</t>
        </is>
      </c>
      <c r="J41" s="2" t="inlineStr">
        <is>
          <t>Mimi AI Nanny Robot</t>
        </is>
      </c>
      <c r="K41" s="2" t="n">
        <v>2</v>
      </c>
      <c r="L41" s="2" t="inlineStr">
        <is>
          <t>Manseerat Kaur Waraich, Harmanpreet Kaur Waraich</t>
        </is>
      </c>
      <c r="M41" s="2" t="inlineStr">
        <is>
          <t>Unpaid</t>
        </is>
      </c>
      <c r="N41" s="2" t="inlineStr">
        <is>
          <t>No AI component identified in the submission.</t>
        </is>
      </c>
      <c r="O41" s="2" t="inlineStr"/>
    </row>
    <row r="42">
      <c r="A42" s="2" t="n">
        <v>41</v>
      </c>
      <c r="B42" s="2" t="inlineStr">
        <is>
          <t>VN Posters</t>
        </is>
      </c>
      <c r="C42" s="2" t="inlineStr">
        <is>
          <t>C5</t>
        </is>
      </c>
      <c r="D42" s="2" t="n">
        <v>58</v>
      </c>
      <c r="E42" s="2" t="inlineStr">
        <is>
          <t>Participation — pending</t>
        </is>
      </c>
      <c r="F42" s="2" t="inlineStr">
        <is>
          <t>Healthcare</t>
        </is>
      </c>
      <c r="G42" s="2" t="inlineStr">
        <is>
          <t>Vietnam</t>
        </is>
      </c>
      <c r="H42" s="2" t="inlineStr"/>
      <c r="I42" s="2" t="inlineStr">
        <is>
          <t>Hanoi - Amsterdam Gifted; HNUE Gifted; Nguyen Van Cu High School</t>
        </is>
      </c>
      <c r="J42" s="2" t="inlineStr">
        <is>
          <t>Research and Synthesis of CoFe2O4 Materials and Their Application in Drug Delivery</t>
        </is>
      </c>
      <c r="K42" s="2" t="n">
        <v>6</v>
      </c>
      <c r="L42" s="2" t="inlineStr">
        <is>
          <t>Pham Bui Quang Minh, Pham Bui Anh Quan, Dao Ngoc Mai Hoa, Nguyen Duc Minh, Nguyen Thuy Duong, Nguyen Tien Minh</t>
        </is>
      </c>
      <c r="M42" s="2" t="inlineStr">
        <is>
          <t>Paid (offline)</t>
        </is>
      </c>
      <c r="N42" s="2" t="inlineStr">
        <is>
          <t>Clean synthesis and characterisation (86.1% yield, 14-16 nm, 55 emu/g). OVERCLAIM: conclusions assert biocompatibility and targeted antibiotic delivery from XRD/TEM/VSM alone - no drug loaded, no cells, and cobalt cytotoxicity is not addressed.</t>
        </is>
      </c>
      <c r="O42" s="2" t="inlineStr">
        <is>
          <t>NO AI COMPONENT; 6 members vs cap of 5; no submission form</t>
        </is>
      </c>
    </row>
    <row r="43">
      <c r="A43" s="2" t="n">
        <v>42</v>
      </c>
      <c r="B43" s="2" t="inlineStr">
        <is>
          <t>VN Posters</t>
        </is>
      </c>
      <c r="C43" s="2" t="inlineStr">
        <is>
          <t>C4</t>
        </is>
      </c>
      <c r="D43" s="2" t="n">
        <v>57</v>
      </c>
      <c r="E43" s="2" t="inlineStr">
        <is>
          <t>Participation — pending</t>
        </is>
      </c>
      <c r="F43" s="2" t="inlineStr">
        <is>
          <t>Environment</t>
        </is>
      </c>
      <c r="G43" s="2" t="inlineStr">
        <is>
          <t>Vietnam</t>
        </is>
      </c>
      <c r="H43" s="2" t="inlineStr"/>
      <c r="I43" s="2" t="inlineStr">
        <is>
          <t>Tran Dai Nghia Secondary and High School; The Western Australian School System; Newton Grammar School; M.V. Lomonosov Secondary and High School</t>
        </is>
      </c>
      <c r="J43" s="2" t="inlineStr">
        <is>
          <t>Copper Oxide Nanomaterials for Solar Energy Harvesting and Photovoltaic Applications</t>
        </is>
      </c>
      <c r="K43" s="2" t="n">
        <v>4</v>
      </c>
      <c r="L43" s="2" t="inlineStr">
        <is>
          <t>Pham Dang Khoa, Tran My Bao Ky, Hoang Anh Thu, Nguyen Gia Hung</t>
        </is>
      </c>
      <c r="M43" s="2" t="inlineStr">
        <is>
          <t>Paid (offline)</t>
        </is>
      </c>
      <c r="N43" s="2" t="inlineStr">
        <is>
          <t>Most reproducible method write-up in the batch and the most honest about its limits - bandgap pending, device untested, aggregation unresolved, all stated by the team. Stops one step short of the application in its own title.</t>
        </is>
      </c>
      <c r="O43" s="2" t="inlineStr">
        <is>
          <t>NO AI COMPONENT; no submission form</t>
        </is>
      </c>
    </row>
    <row r="44">
      <c r="A44" s="2" t="n">
        <v>43</v>
      </c>
      <c r="B44" s="2" t="inlineStr">
        <is>
          <t>BKSTAR</t>
        </is>
      </c>
      <c r="C44" s="2" t="inlineStr">
        <is>
          <t>B3</t>
        </is>
      </c>
      <c r="D44" s="2" t="n">
        <v>50</v>
      </c>
      <c r="E44" s="2" t="inlineStr">
        <is>
          <t>Participation — pending</t>
        </is>
      </c>
      <c r="F44" s="2" t="inlineStr">
        <is>
          <t>Finance</t>
        </is>
      </c>
      <c r="G44" s="2" t="inlineStr">
        <is>
          <t>Vietnam</t>
        </is>
      </c>
      <c r="H44" s="2" t="inlineStr"/>
      <c r="I44" s="2" t="inlineStr">
        <is>
          <t>BKSTAR Education and Technology JSC</t>
        </is>
      </c>
      <c r="J44" s="2" t="inlineStr">
        <is>
          <t>Digital Transformation and Internationalization Capability: A Strategic Business Analysis of SMEs in Vietnam</t>
        </is>
      </c>
      <c r="K44" s="2" t="n">
        <v>7</v>
      </c>
      <c r="L44" s="2" t="inlineStr">
        <is>
          <t>Chu Doan Phuong Chi, Nguyen Phi Long, Tran Nguyen Bao Ngoc, Trinh Phuong Ha, Ngo Thi Nha Linh, Vu Thao Uyen, Ta Hoang Minh Triet</t>
        </is>
      </c>
      <c r="M44" s="2" t="inlineStr">
        <is>
          <t>Unbilled</t>
        </is>
      </c>
      <c r="N44" s="2" t="inlineStr">
        <is>
          <t>Literature review, not an invention. Team states plainly it did not train or validate any AI model. Honest and competent writing in the wrong competition.</t>
        </is>
      </c>
      <c r="O44" s="2" t="inlineStr">
        <is>
          <t>INCOMPLETE: required video blank, no slides; miscategorised as Finance; 7 members vs cap of 5; no fee record</t>
        </is>
      </c>
    </row>
    <row r="45">
      <c r="A45" s="2" t="n">
        <v>44</v>
      </c>
      <c r="B45" s="2" t="inlineStr">
        <is>
          <t>Online (database)</t>
        </is>
      </c>
      <c r="C45" s="2" t="inlineStr">
        <is>
          <t>33</t>
        </is>
      </c>
      <c r="D45" s="2" t="n">
        <v>24</v>
      </c>
      <c r="E45" s="2" t="inlineStr">
        <is>
          <t>Non-compliant</t>
        </is>
      </c>
      <c r="F45" s="2" t="inlineStr">
        <is>
          <t>Other</t>
        </is>
      </c>
      <c r="G45" s="2" t="inlineStr">
        <is>
          <t>Other</t>
        </is>
      </c>
      <c r="H45" s="2" t="inlineStr">
        <is>
          <t>Rwanda (from school — unconfirmed)</t>
        </is>
      </c>
      <c r="I45" s="2" t="inlineStr">
        <is>
          <t>College du Christ Roi</t>
        </is>
      </c>
      <c r="J45" s="2" t="inlineStr">
        <is>
          <t>nova ai</t>
        </is>
      </c>
      <c r="K45" s="2" t="n">
        <v>1</v>
      </c>
      <c r="L45" s="2" t="inlineStr">
        <is>
          <t>Cyiza Ndacyayisenga Cleford</t>
        </is>
      </c>
      <c r="M45" s="2" t="inlineStr">
        <is>
          <t>Unpaid</t>
        </is>
      </c>
      <c r="N45" s="2" t="inlineStr">
        <is>
          <t>Two submitted links are fabricated; abstract is an unedited AI chatbot reply. Recommend no award.</t>
        </is>
      </c>
      <c r="O45" s="2" t="inlineStr"/>
    </row>
  </sheetData>
  <autoFilter ref="A1:O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4" t="inlineStr">
        <is>
          <t>AI-JAM US 2026 — Verified Award List Summary (44 entries, three batches)</t>
        </is>
      </c>
    </row>
    <row r="2">
      <c r="A2" t="inlineStr">
        <is>
          <t>Live COUNTIF against 'Roster Detail'. Award counts use a prefix match so '… — pending' rows are included; all other blocks are exact.</t>
        </is>
      </c>
    </row>
    <row r="4">
      <c r="A4" s="5" t="inlineStr">
        <is>
          <t>BY AWARD</t>
        </is>
      </c>
    </row>
    <row r="5">
      <c r="A5" s="6" t="inlineStr">
        <is>
          <t>Award</t>
        </is>
      </c>
      <c r="B5" s="6" t="inlineStr">
        <is>
          <t>Teams</t>
        </is>
      </c>
      <c r="C5" s="6" t="inlineStr">
        <is>
          <t>Share</t>
        </is>
      </c>
    </row>
    <row r="6">
      <c r="A6" t="inlineStr">
        <is>
          <t>Grand Prix (candidate)</t>
        </is>
      </c>
      <c r="B6">
        <f>COUNTIF('Roster Detail'!$E$2:$E$45,A6&amp;"*")</f>
        <v/>
      </c>
      <c r="C6" s="7">
        <f>IFERROR(B6/$B$12,0)</f>
        <v/>
      </c>
    </row>
    <row r="7">
      <c r="A7" t="inlineStr">
        <is>
          <t>Gold</t>
        </is>
      </c>
      <c r="B7">
        <f>COUNTIF('Roster Detail'!$E$2:$E$45,A7&amp;"*")</f>
        <v/>
      </c>
      <c r="C7" s="7">
        <f>IFERROR(B7/$B$12,0)</f>
        <v/>
      </c>
    </row>
    <row r="8">
      <c r="A8" t="inlineStr">
        <is>
          <t>Silver</t>
        </is>
      </c>
      <c r="B8">
        <f>COUNTIF('Roster Detail'!$E$2:$E$45,A8&amp;"*")</f>
        <v/>
      </c>
      <c r="C8" s="7">
        <f>IFERROR(B8/$B$12,0)</f>
        <v/>
      </c>
    </row>
    <row r="9">
      <c r="A9" t="inlineStr">
        <is>
          <t>Bronze</t>
        </is>
      </c>
      <c r="B9">
        <f>COUNTIF('Roster Detail'!$E$2:$E$45,A9&amp;"*")</f>
        <v/>
      </c>
      <c r="C9" s="7">
        <f>IFERROR(B9/$B$12,0)</f>
        <v/>
      </c>
    </row>
    <row r="10">
      <c r="A10" t="inlineStr">
        <is>
          <t>Participation</t>
        </is>
      </c>
      <c r="B10">
        <f>COUNTIF('Roster Detail'!$E$2:$E$45,A10&amp;"*")</f>
        <v/>
      </c>
      <c r="C10" s="7">
        <f>IFERROR(B10/$B$12,0)</f>
        <v/>
      </c>
    </row>
    <row r="11">
      <c r="A11" t="inlineStr">
        <is>
          <t>Non-compliant</t>
        </is>
      </c>
      <c r="B11">
        <f>COUNTIF('Roster Detail'!$E$2:$E$45,A11&amp;"*")</f>
        <v/>
      </c>
      <c r="C11" s="7">
        <f>IFERROR(B11/$B$12,0)</f>
        <v/>
      </c>
    </row>
    <row r="12">
      <c r="A12" s="8" t="inlineStr">
        <is>
          <t>Total</t>
        </is>
      </c>
      <c r="B12" s="8">
        <f>SUM(B6:B11)</f>
        <v/>
      </c>
      <c r="C12" s="7">
        <f>IFERROR(B12/$B$12,0)</f>
        <v/>
      </c>
    </row>
    <row r="14">
      <c r="A14" s="5" t="inlineStr">
        <is>
          <t>BY BATCH</t>
        </is>
      </c>
    </row>
    <row r="15">
      <c r="A15" s="6" t="inlineStr">
        <is>
          <t>Batch</t>
        </is>
      </c>
      <c r="B15" s="6" t="inlineStr">
        <is>
          <t>Teams</t>
        </is>
      </c>
      <c r="C15" s="6" t="inlineStr">
        <is>
          <t>Share</t>
        </is>
      </c>
    </row>
    <row r="16">
      <c r="A16" t="inlineStr">
        <is>
          <t>Online (database)</t>
        </is>
      </c>
      <c r="B16">
        <f>COUNTIF('Roster Detail'!$B$2:$B$45,A16)</f>
        <v/>
      </c>
      <c r="C16" s="7">
        <f>IFERROR(B16/$B$19,0)</f>
        <v/>
      </c>
    </row>
    <row r="17">
      <c r="A17" t="inlineStr">
        <is>
          <t>BKSTAR</t>
        </is>
      </c>
      <c r="B17">
        <f>COUNTIF('Roster Detail'!$B$2:$B$45,A17)</f>
        <v/>
      </c>
      <c r="C17" s="7">
        <f>IFERROR(B17/$B$19,0)</f>
        <v/>
      </c>
    </row>
    <row r="18">
      <c r="A18" t="inlineStr">
        <is>
          <t>VN Posters</t>
        </is>
      </c>
      <c r="B18">
        <f>COUNTIF('Roster Detail'!$B$2:$B$45,A18)</f>
        <v/>
      </c>
      <c r="C18" s="7">
        <f>IFERROR(B18/$B$19,0)</f>
        <v/>
      </c>
    </row>
    <row r="19">
      <c r="A19" s="8" t="inlineStr">
        <is>
          <t>Total</t>
        </is>
      </c>
      <c r="B19" s="8">
        <f>SUM(B16:B18)</f>
        <v/>
      </c>
      <c r="C19" s="7">
        <f>IFERROR(B19/$B$19,0)</f>
        <v/>
      </c>
    </row>
    <row r="21">
      <c r="A21" s="5" t="inlineStr">
        <is>
          <t>BY CATEGORY</t>
        </is>
      </c>
    </row>
    <row r="22">
      <c r="A22" s="6" t="inlineStr">
        <is>
          <t>Category</t>
        </is>
      </c>
      <c r="B22" s="6" t="inlineStr">
        <is>
          <t>Teams</t>
        </is>
      </c>
      <c r="C22" s="6" t="inlineStr">
        <is>
          <t>Share</t>
        </is>
      </c>
    </row>
    <row r="23">
      <c r="A23" t="inlineStr">
        <is>
          <t>Agriculture</t>
        </is>
      </c>
      <c r="B23">
        <f>COUNTIF('Roster Detail'!$F$2:$F$45,A23)</f>
        <v/>
      </c>
      <c r="C23" s="7">
        <f>IFERROR(B23/$B$31,0)</f>
        <v/>
      </c>
    </row>
    <row r="24">
      <c r="A24" t="inlineStr">
        <is>
          <t>Education</t>
        </is>
      </c>
      <c r="B24">
        <f>COUNTIF('Roster Detail'!$F$2:$F$45,A24)</f>
        <v/>
      </c>
      <c r="C24" s="7">
        <f>IFERROR(B24/$B$31,0)</f>
        <v/>
      </c>
    </row>
    <row r="25">
      <c r="A25" t="inlineStr">
        <is>
          <t>Environment</t>
        </is>
      </c>
      <c r="B25">
        <f>COUNTIF('Roster Detail'!$F$2:$F$45,A25)</f>
        <v/>
      </c>
      <c r="C25" s="7">
        <f>IFERROR(B25/$B$31,0)</f>
        <v/>
      </c>
    </row>
    <row r="26">
      <c r="A26" t="inlineStr">
        <is>
          <t>Finance</t>
        </is>
      </c>
      <c r="B26">
        <f>COUNTIF('Roster Detail'!$F$2:$F$45,A26)</f>
        <v/>
      </c>
      <c r="C26" s="7">
        <f>IFERROR(B26/$B$31,0)</f>
        <v/>
      </c>
    </row>
    <row r="27">
      <c r="A27" t="inlineStr">
        <is>
          <t>Healthcare</t>
        </is>
      </c>
      <c r="B27">
        <f>COUNTIF('Roster Detail'!$F$2:$F$45,A27)</f>
        <v/>
      </c>
      <c r="C27" s="7">
        <f>IFERROR(B27/$B$31,0)</f>
        <v/>
      </c>
    </row>
    <row r="28">
      <c r="A28" t="inlineStr">
        <is>
          <t>Other</t>
        </is>
      </c>
      <c r="B28">
        <f>COUNTIF('Roster Detail'!$F$2:$F$45,A28)</f>
        <v/>
      </c>
      <c r="C28" s="7">
        <f>IFERROR(B28/$B$31,0)</f>
        <v/>
      </c>
    </row>
    <row r="29">
      <c r="A29" t="inlineStr">
        <is>
          <t>Social Good</t>
        </is>
      </c>
      <c r="B29">
        <f>COUNTIF('Roster Detail'!$F$2:$F$45,A29)</f>
        <v/>
      </c>
      <c r="C29" s="7">
        <f>IFERROR(B29/$B$31,0)</f>
        <v/>
      </c>
    </row>
    <row r="30">
      <c r="A30" t="inlineStr">
        <is>
          <t>Transportation</t>
        </is>
      </c>
      <c r="B30">
        <f>COUNTIF('Roster Detail'!$F$2:$F$45,A30)</f>
        <v/>
      </c>
      <c r="C30" s="7">
        <f>IFERROR(B30/$B$31,0)</f>
        <v/>
      </c>
    </row>
    <row r="31">
      <c r="A31" s="8" t="inlineStr">
        <is>
          <t>Total</t>
        </is>
      </c>
      <c r="B31" s="8">
        <f>SUM(B23:B30)</f>
        <v/>
      </c>
      <c r="C31" s="7">
        <f>IFERROR(B31/$B$31,0)</f>
        <v/>
      </c>
    </row>
    <row r="33">
      <c r="A33" s="5" t="inlineStr">
        <is>
          <t>BY COUNTRY</t>
        </is>
      </c>
    </row>
    <row r="34">
      <c r="A34" s="6" t="inlineStr">
        <is>
          <t>Country</t>
        </is>
      </c>
      <c r="B34" s="6" t="inlineStr">
        <is>
          <t>Teams</t>
        </is>
      </c>
      <c r="C34" s="6" t="inlineStr">
        <is>
          <t>Share</t>
        </is>
      </c>
    </row>
    <row r="35">
      <c r="A35" t="inlineStr">
        <is>
          <t>(not registered)</t>
        </is>
      </c>
      <c r="B35">
        <f>COUNTIF('Roster Detail'!$G$2:$G$45,A35)</f>
        <v/>
      </c>
      <c r="C35" s="7">
        <f>IFERROR(B35/$B$42,0)</f>
        <v/>
      </c>
    </row>
    <row r="36">
      <c r="A36" t="inlineStr">
        <is>
          <t>Indonesia</t>
        </is>
      </c>
      <c r="B36">
        <f>COUNTIF('Roster Detail'!$G$2:$G$45,A36)</f>
        <v/>
      </c>
      <c r="C36" s="7">
        <f>IFERROR(B36/$B$42,0)</f>
        <v/>
      </c>
    </row>
    <row r="37">
      <c r="A37" t="inlineStr">
        <is>
          <t>Korea</t>
        </is>
      </c>
      <c r="B37">
        <f>COUNTIF('Roster Detail'!$G$2:$G$45,A37)</f>
        <v/>
      </c>
      <c r="C37" s="7">
        <f>IFERROR(B37/$B$42,0)</f>
        <v/>
      </c>
    </row>
    <row r="38">
      <c r="A38" t="inlineStr">
        <is>
          <t>Malaysia</t>
        </is>
      </c>
      <c r="B38">
        <f>COUNTIF('Roster Detail'!$G$2:$G$45,A38)</f>
        <v/>
      </c>
      <c r="C38" s="7">
        <f>IFERROR(B38/$B$42,0)</f>
        <v/>
      </c>
    </row>
    <row r="39">
      <c r="A39" t="inlineStr">
        <is>
          <t>Other</t>
        </is>
      </c>
      <c r="B39">
        <f>COUNTIF('Roster Detail'!$G$2:$G$45,A39)</f>
        <v/>
      </c>
      <c r="C39" s="7">
        <f>IFERROR(B39/$B$42,0)</f>
        <v/>
      </c>
    </row>
    <row r="40">
      <c r="A40" t="inlineStr">
        <is>
          <t>United States</t>
        </is>
      </c>
      <c r="B40">
        <f>COUNTIF('Roster Detail'!$G$2:$G$45,A40)</f>
        <v/>
      </c>
      <c r="C40" s="7">
        <f>IFERROR(B40/$B$42,0)</f>
        <v/>
      </c>
    </row>
    <row r="41">
      <c r="A41" t="inlineStr">
        <is>
          <t>Vietnam</t>
        </is>
      </c>
      <c r="B41">
        <f>COUNTIF('Roster Detail'!$G$2:$G$45,A41)</f>
        <v/>
      </c>
      <c r="C41" s="7">
        <f>IFERROR(B41/$B$42,0)</f>
        <v/>
      </c>
    </row>
    <row r="42">
      <c r="A42" s="8" t="inlineStr">
        <is>
          <t>Total</t>
        </is>
      </c>
      <c r="B42" s="8">
        <f>SUM(B35:B41)</f>
        <v/>
      </c>
      <c r="C42" s="7">
        <f>IFERROR(B42/$B$42,0)</f>
        <v/>
      </c>
    </row>
    <row r="44">
      <c r="A44" s="5" t="inlineStr">
        <is>
          <t>BY ENTRY FEE</t>
        </is>
      </c>
    </row>
    <row r="45">
      <c r="A45" s="6" t="inlineStr">
        <is>
          <t>Entry Fee</t>
        </is>
      </c>
      <c r="B45" s="6" t="inlineStr">
        <is>
          <t>Teams</t>
        </is>
      </c>
      <c r="C45" s="6" t="inlineStr">
        <is>
          <t>Share</t>
        </is>
      </c>
    </row>
    <row r="46">
      <c r="A46" t="inlineStr">
        <is>
          <t>Paid</t>
        </is>
      </c>
      <c r="B46">
        <f>COUNTIF('Roster Detail'!$M$2:$M$45,A46)</f>
        <v/>
      </c>
      <c r="C46" s="7">
        <f>IFERROR(B46/$B$50,0)</f>
        <v/>
      </c>
    </row>
    <row r="47">
      <c r="A47" t="inlineStr">
        <is>
          <t>Paid (offline)</t>
        </is>
      </c>
      <c r="B47">
        <f>COUNTIF('Roster Detail'!$M$2:$M$45,A47)</f>
        <v/>
      </c>
      <c r="C47" s="7">
        <f>IFERROR(B47/$B$50,0)</f>
        <v/>
      </c>
    </row>
    <row r="48">
      <c r="A48" t="inlineStr">
        <is>
          <t>Unpaid</t>
        </is>
      </c>
      <c r="B48">
        <f>COUNTIF('Roster Detail'!$M$2:$M$45,A48)</f>
        <v/>
      </c>
      <c r="C48" s="7">
        <f>IFERROR(B48/$B$50,0)</f>
        <v/>
      </c>
    </row>
    <row r="49">
      <c r="A49" t="inlineStr">
        <is>
          <t>Unbilled</t>
        </is>
      </c>
      <c r="B49">
        <f>COUNTIF('Roster Detail'!$M$2:$M$45,A49)</f>
        <v/>
      </c>
      <c r="C49" s="7">
        <f>IFERROR(B49/$B$50,0)</f>
        <v/>
      </c>
    </row>
    <row r="50">
      <c r="A50" s="8" t="inlineStr">
        <is>
          <t>Total</t>
        </is>
      </c>
      <c r="B50" s="8">
        <f>SUM(B46:B49)</f>
        <v/>
      </c>
      <c r="C50" s="7">
        <f>IFERROR(B50/$B$50,0)</f>
        <v/>
      </c>
    </row>
    <row r="52">
      <c r="A52" s="5" t="inlineStr">
        <is>
          <t>BY TEAM SIZE</t>
        </is>
      </c>
    </row>
    <row r="53">
      <c r="A53" s="6" t="inlineStr">
        <is>
          <t>Members</t>
        </is>
      </c>
      <c r="B53" s="6" t="inlineStr">
        <is>
          <t>Teams</t>
        </is>
      </c>
      <c r="C53" s="6" t="inlineStr">
        <is>
          <t>Share</t>
        </is>
      </c>
    </row>
    <row r="54">
      <c r="A54" t="n">
        <v>1</v>
      </c>
      <c r="B54">
        <f>COUNTIF('Roster Detail'!$K$2:$K$45,A54)</f>
        <v/>
      </c>
      <c r="C54" s="7">
        <f>IFERROR(B54/$B$61,0)</f>
        <v/>
      </c>
    </row>
    <row r="55">
      <c r="A55" t="n">
        <v>2</v>
      </c>
      <c r="B55">
        <f>COUNTIF('Roster Detail'!$K$2:$K$45,A55)</f>
        <v/>
      </c>
      <c r="C55" s="7">
        <f>IFERROR(B55/$B$61,0)</f>
        <v/>
      </c>
    </row>
    <row r="56">
      <c r="A56" t="n">
        <v>3</v>
      </c>
      <c r="B56">
        <f>COUNTIF('Roster Detail'!$K$2:$K$45,A56)</f>
        <v/>
      </c>
      <c r="C56" s="7">
        <f>IFERROR(B56/$B$61,0)</f>
        <v/>
      </c>
    </row>
    <row r="57">
      <c r="A57" t="n">
        <v>4</v>
      </c>
      <c r="B57">
        <f>COUNTIF('Roster Detail'!$K$2:$K$45,A57)</f>
        <v/>
      </c>
      <c r="C57" s="7">
        <f>IFERROR(B57/$B$61,0)</f>
        <v/>
      </c>
    </row>
    <row r="58">
      <c r="A58" t="n">
        <v>5</v>
      </c>
      <c r="B58">
        <f>COUNTIF('Roster Detail'!$K$2:$K$45,A58)</f>
        <v/>
      </c>
      <c r="C58" s="7">
        <f>IFERROR(B58/$B$61,0)</f>
        <v/>
      </c>
    </row>
    <row r="59">
      <c r="A59" t="n">
        <v>6</v>
      </c>
      <c r="B59">
        <f>COUNTIF('Roster Detail'!$K$2:$K$45,A59)</f>
        <v/>
      </c>
      <c r="C59" s="7">
        <f>IFERROR(B59/$B$61,0)</f>
        <v/>
      </c>
    </row>
    <row r="60">
      <c r="A60" t="n">
        <v>7</v>
      </c>
      <c r="B60">
        <f>COUNTIF('Roster Detail'!$K$2:$K$45,A60)</f>
        <v/>
      </c>
      <c r="C60" s="7">
        <f>IFERROR(B60/$B$61,0)</f>
        <v/>
      </c>
    </row>
    <row r="61">
      <c r="A61" s="8" t="inlineStr">
        <is>
          <t>Total</t>
        </is>
      </c>
      <c r="B61" s="8">
        <f>SUM(B54:B60)</f>
        <v/>
      </c>
      <c r="C61" s="7">
        <f>IFERROR(B61/$B$61,0)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20" customWidth="1" min="3" max="3"/>
  </cols>
  <sheetData>
    <row r="1" ht="22" customHeight="1">
      <c r="A1" s="1" t="inlineStr">
        <is>
          <t>#</t>
        </is>
      </c>
      <c r="B1" s="1" t="inlineStr">
        <is>
          <t>Applies to</t>
        </is>
      </c>
      <c r="C1" s="1" t="inlineStr">
        <is>
          <t>What needs a decision</t>
        </is>
      </c>
    </row>
    <row r="2">
      <c r="A2" s="2" t="n">
        <v>1</v>
      </c>
      <c r="B2" s="2" t="inlineStr">
        <is>
          <t>Whole list</t>
        </is>
      </c>
      <c r="C2" s="2" t="inlineStr">
        <is>
          <t>Award tiers are not final until the paid/unpaid rule is settled. 18 of the 33 online entries did not pay, including the top-scoring one.</t>
        </is>
      </c>
    </row>
    <row r="3">
      <c r="A3" s="2" t="n">
        <v>2</v>
      </c>
      <c r="B3" s="2" t="inlineStr">
        <is>
          <t>VN Posters — 5 of 6</t>
        </is>
      </c>
      <c r="C3" s="2" t="inlineStr">
        <is>
          <t>NO AI COMPONENT. C3, C4, C5, C6 and C8 are materials-science and physics projects with no model, dataset or algorithm. This is the 11th International AI Invention Challenge. Precedent in the 2026 field: Mimi AI Nanny Robot, scored 59, flagged "No AI component", awarded Participation. If the AI requirement is enforced, only C2 (AutoInsure AI) survives as a Bronze from that batch.</t>
        </is>
      </c>
    </row>
    <row r="4">
      <c r="A4" s="2" t="n">
        <v>3</v>
      </c>
      <c r="B4" s="2" t="inlineStr">
        <is>
          <t>BKSTAR — all 5</t>
        </is>
      </c>
      <c r="C4" s="2" t="inlineStr">
        <is>
          <t>No entry-fee record exists for info@bkstar.edu.vn. At $350 standard / $250 student that is $1,750 or $1,250 unbilled across five entries.</t>
        </is>
      </c>
    </row>
    <row r="5">
      <c r="A5" s="2" t="n">
        <v>4</v>
      </c>
      <c r="B5" s="2" t="inlineStr">
        <is>
          <t>BKSTAR — all 5</t>
        </is>
      </c>
      <c r="C5" s="2" t="inlineStr">
        <is>
          <t>One award recipient (Pham Van Khuong, Hanoi) is named on all five forms. Certificates and awards for 33 students would ship to a single teacher address. Confirm this is intended.</t>
        </is>
      </c>
    </row>
    <row r="6">
      <c r="A6" s="2" t="n">
        <v>5</v>
      </c>
      <c r="B6" s="2" t="inlineStr">
        <is>
          <t>BKSTAR + rank 13</t>
        </is>
      </c>
      <c r="C6" s="2" t="inlineStr">
        <is>
          <t>Team sizes over the stated cap of 5: B1 and B2 have 6, B3, B4 and B5 have 7, C3 and C5 have 6. Rank 13 (Hydroclimate) already carried the same issue with 7 authors.</t>
        </is>
      </c>
    </row>
    <row r="7">
      <c r="A7" s="2" t="n">
        <v>6</v>
      </c>
      <c r="B7" s="2" t="inlineStr">
        <is>
          <t>B3</t>
        </is>
      </c>
      <c r="C7" s="2" t="inlineStr">
        <is>
          <t>Required 30-second video is blank and no slides were submitted. Incomplete on the face of the form.</t>
        </is>
      </c>
    </row>
    <row r="8">
      <c r="A8" s="2" t="n">
        <v>7</v>
      </c>
      <c r="B8" s="2" t="inlineStr">
        <is>
          <t>VN Posters — all</t>
        </is>
      </c>
      <c r="C8" s="2" t="inlineStr">
        <is>
          <t>No submission forms were provided — only names, schools, titles and links. Abstract, key features, social impact and marketability were never submitted. Scores come from the posters instead.</t>
        </is>
      </c>
    </row>
    <row r="9">
      <c r="A9" s="2" t="n">
        <v>8</v>
      </c>
      <c r="B9" s="2" t="inlineStr">
        <is>
          <t>VN Posters</t>
        </is>
      </c>
      <c r="C9" s="2" t="inlineStr">
        <is>
          <t>Group 7 is missing from the numbering (1, 2, 3, 4, 5, 6, 8). Confirm whether a group was lost.</t>
        </is>
      </c>
    </row>
    <row r="10">
      <c r="A10" s="2" t="n">
        <v>9</v>
      </c>
      <c r="B10" s="2" t="inlineStr">
        <is>
          <t>VN Posters — Group 1</t>
        </is>
      </c>
      <c r="C10" s="2" t="inlineStr">
        <is>
          <t>Group 1 is SafeDrive+, already in the database and already scored as rank 27 / 70 / Bronze with a late-submission flag. It is NOT duplicated in this workbook. Do not award it twice.</t>
        </is>
      </c>
    </row>
    <row r="11">
      <c r="A11" s="2" t="n">
        <v>10</v>
      </c>
      <c r="B11" s="2" t="inlineStr">
        <is>
          <t>Name collisions</t>
        </is>
      </c>
      <c r="C11" s="2" t="inlineStr">
        <is>
          <t>Lam An Binh appears on both B1 and B4 — same person, two teams. Nguyen Thuy Duong appears on C3 and C5, and Nguyen Nhat Minh on B4 and C6 — different schools, so probably different students with the same name. Confirm all three before printing certificates.</t>
        </is>
      </c>
    </row>
    <row r="12">
      <c r="A12" s="2" t="n">
        <v>11</v>
      </c>
      <c r="B12" s="2" t="inlineStr">
        <is>
          <t>Rank 13</t>
        </is>
      </c>
      <c r="C12" s="2" t="inlineStr">
        <is>
          <t>Hydroclimate: 7 authors against the 5-member cap and the co-authors read as university faculty. Eligibility call needed.</t>
        </is>
      </c>
    </row>
    <row r="13">
      <c r="A13" s="2" t="n">
        <v>12</v>
      </c>
      <c r="B13" s="2" t="inlineStr">
        <is>
          <t>Rank 15</t>
        </is>
      </c>
      <c r="C13" s="2" t="inlineStr">
        <is>
          <t>NeoGuardian AI: no registration row and two submissions from the same address — check for a duplicate charge.</t>
        </is>
      </c>
    </row>
    <row r="14">
      <c r="A14" s="2" t="n">
        <v>13</v>
      </c>
      <c r="B14" s="2" t="inlineStr">
        <is>
          <t>Rank 27</t>
        </is>
      </c>
      <c r="C14" s="2" t="inlineStr">
        <is>
          <t>SAFEDRIVE+: submitted ~19 hours past the deadline; filed under Education though the project is transportation safety.</t>
        </is>
      </c>
    </row>
    <row r="15">
      <c r="A15" s="2" t="n">
        <v>14</v>
      </c>
      <c r="B15" s="2" t="inlineStr">
        <is>
          <t>Rank 33</t>
        </is>
      </c>
      <c r="C15" s="2" t="inlineStr">
        <is>
          <t>nova ai: two submitted links are fabricated and the abstract is an unedited chatbot reply. Recommendation: no award.</t>
        </is>
      </c>
    </row>
    <row r="16">
      <c r="A16" s="2" t="n">
        <v>15</v>
      </c>
      <c r="B16" s="2" t="inlineStr">
        <is>
          <t>Rank 30</t>
        </is>
      </c>
      <c r="C16" s="2" t="inlineStr">
        <is>
          <t>Ripple.AI: no registration row — country and school unknown, needed before publication.</t>
        </is>
      </c>
    </row>
    <row r="17">
      <c r="A17" s="2" t="n">
        <v>16</v>
      </c>
      <c r="B17" s="2" t="inlineStr">
        <is>
          <t>Country field</t>
        </is>
      </c>
      <c r="C17" s="2" t="inlineStr">
        <is>
          <t>13 online entries registered their country as "Other" or have no registration row. Column H of Roster Detail carries an unconfirmed hint from the school or email domain — confirm each with the participant.</t>
        </is>
      </c>
    </row>
    <row r="18">
      <c r="A18" s="2" t="n">
        <v>17</v>
      </c>
      <c r="B18" s="2" t="inlineStr">
        <is>
          <t>Minor participants</t>
        </is>
      </c>
      <c r="C18" s="2" t="inlineStr">
        <is>
          <t>Several entrants are secondary-school students. The agreed publication rule is: top awards on the web, full roster in a PDF only.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4" t="inlineStr">
        <is>
          <t>AI-JAM US 2026 — Verified Award List</t>
        </is>
      </c>
    </row>
    <row r="2">
      <c r="A2" t="inlineStr"/>
    </row>
    <row r="3">
      <c r="A3" t="inlineStr">
        <is>
          <t>Every name, project title, country, school and score in this workbook came from a real submission —</t>
        </is>
      </c>
    </row>
    <row r="4">
      <c r="A4" t="inlineStr">
        <is>
          <t>the competition database, five emailed DOCX forms, or seven Google Drive posters that were read in full.</t>
        </is>
      </c>
    </row>
    <row r="5">
      <c r="A5" t="inlineStr">
        <is>
          <t>Nothing here is invented.</t>
        </is>
      </c>
    </row>
    <row r="6">
      <c r="A6" t="inlineStr"/>
    </row>
    <row r="7">
      <c r="A7" s="9" t="inlineStr">
        <is>
          <t>Three batches, 44 entries</t>
        </is>
      </c>
    </row>
    <row r="8">
      <c r="A8" t="inlineStr">
        <is>
          <t>Online (database) — 33 entries. 39 submission rows minus 2 test records and 4 duplicates. 15 paid, 18 unpaid.</t>
        </is>
      </c>
    </row>
    <row r="9">
      <c r="A9" t="inlineStr">
        <is>
          <t>BKSTAR — 5 entries. Emailed forms from one Vietnamese institution, one submitting account, 33 students.</t>
        </is>
      </c>
    </row>
    <row r="10">
      <c r="A10" t="inlineStr">
        <is>
          <t xml:space="preserve">   No database record and no fee record.</t>
        </is>
      </c>
    </row>
    <row r="11">
      <c r="A11" t="inlineStr">
        <is>
          <t>VN Posters — 6 entries. Seven groups submitted; Group 1 is SafeDrive+, already scored in the online batch,</t>
        </is>
      </c>
    </row>
    <row r="12">
      <c r="A12" t="inlineStr">
        <is>
          <t xml:space="preserve">   so it is not repeated here. No database record; fees stated as paid offline.</t>
        </is>
      </c>
    </row>
    <row r="13">
      <c r="A13" t="inlineStr"/>
    </row>
    <row r="14">
      <c r="A14" s="9" t="inlineStr">
        <is>
          <t>Format</t>
        </is>
      </c>
    </row>
    <row r="15">
      <c r="A15" t="inlineStr">
        <is>
          <t>Sheet 1 uses the six columns of the 2025 AI-JAM US Awardee List: No. / Category / Country /</t>
        </is>
      </c>
    </row>
    <row r="16">
      <c r="A16" t="inlineStr">
        <is>
          <t>Project Title / Student Name / Award, sorted by category then by first listed student name.</t>
        </is>
      </c>
    </row>
    <row r="17">
      <c r="A17" t="inlineStr">
        <is>
          <t>Awards marked "— pending" have an unresolved eligibility flag; see the Open Decisions sheet.</t>
        </is>
      </c>
    </row>
    <row r="18">
      <c r="A18" t="inlineStr">
        <is>
          <t>Sheets 2 and 3 show each offline batch on its own, as requested.</t>
        </is>
      </c>
    </row>
    <row r="19">
      <c r="A19" t="inlineStr">
        <is>
          <t>Sheet 4 is the full roster with rank, score, school, team size, fee status, judging note and flags.</t>
        </is>
      </c>
    </row>
    <row r="20">
      <c r="A20" t="inlineStr">
        <is>
          <t>Sheet 5 counts everything with live formulas pointed at Sheet 4.</t>
        </is>
      </c>
    </row>
    <row r="21">
      <c r="A21" t="inlineStr">
        <is>
          <t>Sheet 6 lists the 17 calls that have to be made before this list is announced.</t>
        </is>
      </c>
    </row>
    <row r="22">
      <c r="A22" t="inlineStr"/>
    </row>
    <row r="23">
      <c r="A23" s="9" t="inlineStr">
        <is>
          <t>Scoring</t>
        </is>
      </c>
    </row>
    <row r="24">
      <c r="A24" t="inlineStr">
        <is>
          <t>Clarity 25 / Novelty 25 / Impact 30 / Feasibility 20, per the official 2026 criteria, applied identically</t>
        </is>
      </c>
    </row>
    <row r="25">
      <c r="A25" t="inlineStr">
        <is>
          <t>to all three batches. Per-criterion reasoning for every entry is in the evaluation folder:</t>
        </is>
      </c>
    </row>
    <row r="26">
      <c r="A26" t="inlineStr">
        <is>
          <t xml:space="preserve">   participants/01-33 (online), participants/B1-B5 (BKSTAR), participants/C2-C8 (posters),</t>
        </is>
      </c>
    </row>
    <row r="27">
      <c r="A27" t="inlineStr">
        <is>
          <t xml:space="preserve">   00_MASTER_RANKING.md, 04_OFFLINE_BATCH_BKSTAR.md, 05_BATCH_VIETNAM_POSTERS.md.</t>
        </is>
      </c>
    </row>
    <row r="28">
      <c r="A28" t="inlineStr"/>
    </row>
    <row r="29">
      <c r="A29" s="9" t="inlineStr">
        <is>
          <t>Note on the other workbook in this folder</t>
        </is>
      </c>
    </row>
    <row r="30">
      <c r="A30" t="inlineStr">
        <is>
          <t>AIJAM_US_2026_Award_List.xlsx holds 588 generated teams with invented student names. It is a layout</t>
        </is>
      </c>
    </row>
    <row r="31">
      <c r="A31" t="inlineStr">
        <is>
          <t>draft, not a roster. It must not be published, sent to a participant, or merged with this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2026-09-05T22:46:22Z</dcterms:created>
  <dcterms:modified xmlns:dcterms="http://purl.org/dc/terms/" xmlns:xsi="http://www.w3.org/2001/XMLSchema-instance" xsi:type="dcterms:W3CDTF">2026-09-05T22:46:22Z</dcterms:modified>
</cp:coreProperties>
</file>